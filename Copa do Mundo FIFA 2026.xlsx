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Pessoais\"/>
    </mc:Choice>
  </mc:AlternateContent>
  <xr:revisionPtr revIDLastSave="0" documentId="13_ncr:1_{B051CDD9-5956-4186-8F5F-160583BA0FF8}" xr6:coauthVersionLast="47" xr6:coauthVersionMax="47" xr10:uidLastSave="{00000000-0000-0000-0000-000000000000}"/>
  <bookViews>
    <workbookView xWindow="-120" yWindow="-120" windowWidth="29040" windowHeight="15720" activeTab="2" xr2:uid="{076F3B28-812E-4458-A424-96085A053123}"/>
  </bookViews>
  <sheets>
    <sheet name="Classificados" sheetId="1" r:id="rId1"/>
    <sheet name="Sorteios" sheetId="2" r:id="rId2"/>
    <sheet name="Fase de Grupos" sheetId="3" r:id="rId3"/>
    <sheet name="Dummy" sheetId="5" state="hidden" r:id="rId4"/>
    <sheet name="Finai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G3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1" i="3" l="1"/>
  <c r="I59" i="3" s="1"/>
  <c r="P6" i="3"/>
  <c r="I6" i="3" s="1"/>
  <c r="P7" i="3"/>
  <c r="P8" i="3"/>
  <c r="P5" i="3"/>
  <c r="P47" i="3"/>
  <c r="I49" i="3" s="1"/>
  <c r="P72" i="3"/>
  <c r="P73" i="3"/>
  <c r="E70" i="3" s="1"/>
  <c r="L70" i="3" s="1"/>
  <c r="P74" i="3"/>
  <c r="I70" i="3" s="1"/>
  <c r="P71" i="3"/>
  <c r="E71" i="3" s="1"/>
  <c r="L71" i="3" s="1"/>
  <c r="P66" i="3"/>
  <c r="E68" i="3" s="1"/>
  <c r="L68" i="3" s="1"/>
  <c r="P67" i="3"/>
  <c r="I65" i="3" s="1"/>
  <c r="M65" i="3" s="1"/>
  <c r="P68" i="3"/>
  <c r="E67" i="3" s="1"/>
  <c r="L67" i="3" s="1"/>
  <c r="P65" i="3"/>
  <c r="P60" i="3"/>
  <c r="P62" i="3"/>
  <c r="I58" i="3" s="1"/>
  <c r="P59" i="3"/>
  <c r="E59" i="3" s="1"/>
  <c r="P54" i="3"/>
  <c r="P55" i="3"/>
  <c r="P56" i="3"/>
  <c r="E54" i="3" s="1"/>
  <c r="L54" i="3" s="1"/>
  <c r="P53" i="3"/>
  <c r="M74" i="3"/>
  <c r="K74" i="3"/>
  <c r="J74" i="3"/>
  <c r="M73" i="3"/>
  <c r="K73" i="3"/>
  <c r="J73" i="3"/>
  <c r="M72" i="3"/>
  <c r="K72" i="3"/>
  <c r="J72" i="3"/>
  <c r="M71" i="3"/>
  <c r="K71" i="3"/>
  <c r="J71" i="3"/>
  <c r="M70" i="3"/>
  <c r="K70" i="3"/>
  <c r="J70" i="3"/>
  <c r="M69" i="3"/>
  <c r="K69" i="3"/>
  <c r="J69" i="3"/>
  <c r="M68" i="3"/>
  <c r="K68" i="3"/>
  <c r="J68" i="3"/>
  <c r="M67" i="3"/>
  <c r="K67" i="3"/>
  <c r="J67" i="3"/>
  <c r="E66" i="3"/>
  <c r="J66" i="3" s="1"/>
  <c r="K66" i="3" s="1"/>
  <c r="I64" i="3"/>
  <c r="M64" i="3" s="1"/>
  <c r="M62" i="3"/>
  <c r="K62" i="3"/>
  <c r="J62" i="3"/>
  <c r="M61" i="3"/>
  <c r="K61" i="3"/>
  <c r="J61" i="3"/>
  <c r="M60" i="3"/>
  <c r="K60" i="3"/>
  <c r="J60" i="3"/>
  <c r="M59" i="3"/>
  <c r="J59" i="3"/>
  <c r="K59" i="3" s="1"/>
  <c r="M58" i="3"/>
  <c r="J58" i="3"/>
  <c r="M57" i="3"/>
  <c r="J57" i="3"/>
  <c r="K57" i="3" s="1"/>
  <c r="M56" i="3"/>
  <c r="K56" i="3"/>
  <c r="J56" i="3"/>
  <c r="M55" i="3"/>
  <c r="K55" i="3"/>
  <c r="J55" i="3"/>
  <c r="M54" i="3"/>
  <c r="K54" i="3"/>
  <c r="J54" i="3"/>
  <c r="M53" i="3"/>
  <c r="K53" i="3"/>
  <c r="J53" i="3"/>
  <c r="M52" i="3"/>
  <c r="K52" i="3"/>
  <c r="J52" i="3"/>
  <c r="M51" i="3"/>
  <c r="K51" i="3"/>
  <c r="J51" i="3"/>
  <c r="P48" i="3"/>
  <c r="P49" i="3"/>
  <c r="I50" i="3" s="1"/>
  <c r="P50" i="3"/>
  <c r="E49" i="3" s="1"/>
  <c r="L49" i="3" s="1"/>
  <c r="P42" i="3"/>
  <c r="I42" i="3" s="1"/>
  <c r="P43" i="3"/>
  <c r="E40" i="3" s="1"/>
  <c r="L40" i="3" s="1"/>
  <c r="P44" i="3"/>
  <c r="E42" i="3" s="1"/>
  <c r="L42" i="3" s="1"/>
  <c r="P41" i="3"/>
  <c r="I43" i="3" s="1"/>
  <c r="P36" i="3"/>
  <c r="I33" i="3" s="1"/>
  <c r="P37" i="3"/>
  <c r="E34" i="3" s="1"/>
  <c r="L34" i="3" s="1"/>
  <c r="P38" i="3"/>
  <c r="E37" i="3" s="1"/>
  <c r="L37" i="3" s="1"/>
  <c r="P35" i="3"/>
  <c r="E33" i="3" s="1"/>
  <c r="L33" i="3" s="1"/>
  <c r="P30" i="3"/>
  <c r="I30" i="3" s="1"/>
  <c r="P31" i="3"/>
  <c r="I29" i="3" s="1"/>
  <c r="P32" i="3"/>
  <c r="E31" i="3" s="1"/>
  <c r="L31" i="3" s="1"/>
  <c r="P29" i="3"/>
  <c r="E29" i="3" s="1"/>
  <c r="L29" i="3" s="1"/>
  <c r="P24" i="3"/>
  <c r="E26" i="3" s="1"/>
  <c r="L26" i="3" s="1"/>
  <c r="P25" i="3"/>
  <c r="E22" i="3" s="1"/>
  <c r="L22" i="3" s="1"/>
  <c r="P26" i="3"/>
  <c r="E25" i="3" s="1"/>
  <c r="L25" i="3" s="1"/>
  <c r="P23" i="3"/>
  <c r="I25" i="3" s="1"/>
  <c r="P18" i="3"/>
  <c r="I15" i="3" s="1"/>
  <c r="P19" i="3"/>
  <c r="E16" i="3" s="1"/>
  <c r="L16" i="3" s="1"/>
  <c r="P20" i="3"/>
  <c r="E19" i="3" s="1"/>
  <c r="L19" i="3" s="1"/>
  <c r="P17" i="3"/>
  <c r="E17" i="3" s="1"/>
  <c r="L17" i="3" s="1"/>
  <c r="P12" i="3"/>
  <c r="E14" i="3" s="1"/>
  <c r="L14" i="3" s="1"/>
  <c r="P13" i="3"/>
  <c r="I11" i="3" s="1"/>
  <c r="P14" i="3"/>
  <c r="E12" i="3" s="1"/>
  <c r="L12" i="3" s="1"/>
  <c r="P11" i="3"/>
  <c r="E9" i="3" s="1"/>
  <c r="E5" i="3"/>
  <c r="M50" i="3"/>
  <c r="K50" i="3"/>
  <c r="J50" i="3"/>
  <c r="E50" i="3"/>
  <c r="L50" i="3" s="1"/>
  <c r="M49" i="3"/>
  <c r="K49" i="3"/>
  <c r="J49" i="3"/>
  <c r="M48" i="3"/>
  <c r="K48" i="3"/>
  <c r="J48" i="3"/>
  <c r="I48" i="3"/>
  <c r="M47" i="3"/>
  <c r="K47" i="3"/>
  <c r="J47" i="3"/>
  <c r="I47" i="3"/>
  <c r="E47" i="3"/>
  <c r="L47" i="3" s="1"/>
  <c r="M46" i="3"/>
  <c r="K46" i="3"/>
  <c r="J46" i="3"/>
  <c r="M45" i="3"/>
  <c r="K45" i="3"/>
  <c r="J45" i="3"/>
  <c r="I45" i="3"/>
  <c r="E45" i="3"/>
  <c r="L45" i="3" s="1"/>
  <c r="M44" i="3"/>
  <c r="K44" i="3"/>
  <c r="J44" i="3"/>
  <c r="M43" i="3"/>
  <c r="K43" i="3"/>
  <c r="J43" i="3"/>
  <c r="M42" i="3"/>
  <c r="K42" i="3"/>
  <c r="J42" i="3"/>
  <c r="M41" i="3"/>
  <c r="K41" i="3"/>
  <c r="J41" i="3"/>
  <c r="M40" i="3"/>
  <c r="K40" i="3"/>
  <c r="J40" i="3"/>
  <c r="M39" i="3"/>
  <c r="K39" i="3"/>
  <c r="J39" i="3"/>
  <c r="M38" i="3"/>
  <c r="K38" i="3"/>
  <c r="J38" i="3"/>
  <c r="M37" i="3"/>
  <c r="K37" i="3"/>
  <c r="J37" i="3"/>
  <c r="M36" i="3"/>
  <c r="K36" i="3"/>
  <c r="J36" i="3"/>
  <c r="M35" i="3"/>
  <c r="K35" i="3"/>
  <c r="J35" i="3"/>
  <c r="M34" i="3"/>
  <c r="K34" i="3"/>
  <c r="J34" i="3"/>
  <c r="M33" i="3"/>
  <c r="K33" i="3"/>
  <c r="J33" i="3"/>
  <c r="M32" i="3"/>
  <c r="K32" i="3"/>
  <c r="J32" i="3"/>
  <c r="I32" i="3"/>
  <c r="E32" i="3"/>
  <c r="L32" i="3" s="1"/>
  <c r="M31" i="3"/>
  <c r="K31" i="3"/>
  <c r="J31" i="3"/>
  <c r="I31" i="3"/>
  <c r="M30" i="3"/>
  <c r="K30" i="3"/>
  <c r="J30" i="3"/>
  <c r="M29" i="3"/>
  <c r="K29" i="3"/>
  <c r="J29" i="3"/>
  <c r="M28" i="3"/>
  <c r="K28" i="3"/>
  <c r="J28" i="3"/>
  <c r="I28" i="3"/>
  <c r="E28" i="3"/>
  <c r="L28" i="3" s="1"/>
  <c r="M27" i="3"/>
  <c r="K27" i="3"/>
  <c r="J27" i="3"/>
  <c r="E27" i="3"/>
  <c r="L27" i="3" s="1"/>
  <c r="M26" i="3"/>
  <c r="K26" i="3"/>
  <c r="J26" i="3"/>
  <c r="M25" i="3"/>
  <c r="K25" i="3"/>
  <c r="J25" i="3"/>
  <c r="M24" i="3"/>
  <c r="K24" i="3"/>
  <c r="J24" i="3"/>
  <c r="M23" i="3"/>
  <c r="K23" i="3"/>
  <c r="J23" i="3"/>
  <c r="M22" i="3"/>
  <c r="K22" i="3"/>
  <c r="J22" i="3"/>
  <c r="M21" i="3"/>
  <c r="K21" i="3"/>
  <c r="J21" i="3"/>
  <c r="M20" i="3"/>
  <c r="K20" i="3"/>
  <c r="J20" i="3"/>
  <c r="M19" i="3"/>
  <c r="K19" i="3"/>
  <c r="J19" i="3"/>
  <c r="M18" i="3"/>
  <c r="K18" i="3"/>
  <c r="J18" i="3"/>
  <c r="M17" i="3"/>
  <c r="K17" i="3"/>
  <c r="J17" i="3"/>
  <c r="M16" i="3"/>
  <c r="K16" i="3"/>
  <c r="J16" i="3"/>
  <c r="M15" i="3"/>
  <c r="K15" i="3"/>
  <c r="J15" i="3"/>
  <c r="M14" i="3"/>
  <c r="K14" i="3"/>
  <c r="J14" i="3"/>
  <c r="I14" i="3"/>
  <c r="M13" i="3"/>
  <c r="K13" i="3"/>
  <c r="J13" i="3"/>
  <c r="M12" i="3"/>
  <c r="K12" i="3"/>
  <c r="J12" i="3"/>
  <c r="M11" i="3"/>
  <c r="K11" i="3"/>
  <c r="J11" i="3"/>
  <c r="M10" i="3"/>
  <c r="J10" i="3"/>
  <c r="K10" i="3" s="1"/>
  <c r="E10" i="3"/>
  <c r="M9" i="3"/>
  <c r="J9" i="3"/>
  <c r="K9" i="3" s="1"/>
  <c r="M8" i="3"/>
  <c r="J8" i="3"/>
  <c r="K8" i="3" s="1"/>
  <c r="I8" i="3"/>
  <c r="M7" i="3"/>
  <c r="J7" i="3"/>
  <c r="K7" i="3" s="1"/>
  <c r="I7" i="3"/>
  <c r="E7" i="3"/>
  <c r="M6" i="3"/>
  <c r="J6" i="3"/>
  <c r="K6" i="3" s="1"/>
  <c r="E6" i="3"/>
  <c r="M5" i="3"/>
  <c r="J5" i="3"/>
  <c r="K5" i="3" s="1"/>
  <c r="I5" i="3"/>
  <c r="I4" i="3"/>
  <c r="M4" i="3" s="1"/>
  <c r="E4" i="3"/>
  <c r="J4" i="3" s="1"/>
  <c r="K4" i="3" s="1"/>
  <c r="M3" i="3"/>
  <c r="E60" i="3" l="1"/>
  <c r="L60" i="3" s="1"/>
  <c r="E61" i="3"/>
  <c r="L61" i="3" s="1"/>
  <c r="E58" i="3"/>
  <c r="I62" i="3"/>
  <c r="I13" i="3"/>
  <c r="I3" i="3"/>
  <c r="E8" i="3"/>
  <c r="I27" i="3"/>
  <c r="I12" i="3"/>
  <c r="I9" i="3"/>
  <c r="E30" i="3"/>
  <c r="L30" i="3" s="1"/>
  <c r="I26" i="3"/>
  <c r="E13" i="3"/>
  <c r="L13" i="3" s="1"/>
  <c r="I10" i="3"/>
  <c r="E57" i="3"/>
  <c r="I37" i="3"/>
  <c r="I61" i="3"/>
  <c r="E46" i="3"/>
  <c r="L46" i="3" s="1"/>
  <c r="I23" i="3"/>
  <c r="E20" i="3"/>
  <c r="L20" i="3" s="1"/>
  <c r="I24" i="3"/>
  <c r="I21" i="3"/>
  <c r="E38" i="3"/>
  <c r="L38" i="3" s="1"/>
  <c r="I18" i="3"/>
  <c r="E15" i="3"/>
  <c r="L15" i="3" s="1"/>
  <c r="I36" i="3"/>
  <c r="I39" i="3"/>
  <c r="E48" i="3"/>
  <c r="L48" i="3" s="1"/>
  <c r="E43" i="3"/>
  <c r="L43" i="3" s="1"/>
  <c r="E24" i="3"/>
  <c r="L24" i="3" s="1"/>
  <c r="I46" i="3"/>
  <c r="E11" i="3"/>
  <c r="L11" i="3" s="1"/>
  <c r="I22" i="3"/>
  <c r="E35" i="3"/>
  <c r="L35" i="3" s="1"/>
  <c r="I41" i="3"/>
  <c r="E44" i="3"/>
  <c r="L44" i="3" s="1"/>
  <c r="E69" i="3"/>
  <c r="L69" i="3" s="1"/>
  <c r="I40" i="3"/>
  <c r="I52" i="3"/>
  <c r="L10" i="3"/>
  <c r="L9" i="3"/>
  <c r="I17" i="3"/>
  <c r="I20" i="3"/>
  <c r="I63" i="3"/>
  <c r="M63" i="3" s="1"/>
  <c r="I66" i="3"/>
  <c r="M66" i="3" s="1"/>
  <c r="L66" i="3" s="1"/>
  <c r="E18" i="3"/>
  <c r="L18" i="3" s="1"/>
  <c r="I35" i="3"/>
  <c r="I73" i="3"/>
  <c r="L8" i="3"/>
  <c r="E23" i="3"/>
  <c r="L23" i="3" s="1"/>
  <c r="E41" i="3"/>
  <c r="L41" i="3" s="1"/>
  <c r="E21" i="3"/>
  <c r="L21" i="3" s="1"/>
  <c r="I34" i="3"/>
  <c r="I16" i="3"/>
  <c r="E39" i="3"/>
  <c r="L39" i="3" s="1"/>
  <c r="E55" i="3"/>
  <c r="L55" i="3" s="1"/>
  <c r="L7" i="3"/>
  <c r="L6" i="3"/>
  <c r="L5" i="3"/>
  <c r="U14" i="3"/>
  <c r="U71" i="3"/>
  <c r="U65" i="3"/>
  <c r="L59" i="3"/>
  <c r="L58" i="3"/>
  <c r="K58" i="3"/>
  <c r="U61" i="3"/>
  <c r="U11" i="3"/>
  <c r="U17" i="3"/>
  <c r="U23" i="3"/>
  <c r="U29" i="3"/>
  <c r="U35" i="3"/>
  <c r="U41" i="3"/>
  <c r="U47" i="3"/>
  <c r="U54" i="3"/>
  <c r="U60" i="3"/>
  <c r="U66" i="3"/>
  <c r="U72" i="3"/>
  <c r="U12" i="3"/>
  <c r="U18" i="3"/>
  <c r="U24" i="3"/>
  <c r="U30" i="3"/>
  <c r="U36" i="3"/>
  <c r="U42" i="3"/>
  <c r="U48" i="3"/>
  <c r="U55" i="3"/>
  <c r="U67" i="3"/>
  <c r="U73" i="3"/>
  <c r="U13" i="3"/>
  <c r="U19" i="3"/>
  <c r="U25" i="3"/>
  <c r="U31" i="3"/>
  <c r="U37" i="3"/>
  <c r="U43" i="3"/>
  <c r="U49" i="3"/>
  <c r="U56" i="3"/>
  <c r="U62" i="3"/>
  <c r="U68" i="3"/>
  <c r="U74" i="3"/>
  <c r="U53" i="3"/>
  <c r="U20" i="3"/>
  <c r="U26" i="3"/>
  <c r="U32" i="3"/>
  <c r="U38" i="3"/>
  <c r="U44" i="3"/>
  <c r="U50" i="3"/>
  <c r="U59" i="3"/>
  <c r="U8" i="3"/>
  <c r="U7" i="3"/>
  <c r="U6" i="3"/>
  <c r="U5" i="3"/>
  <c r="L57" i="3"/>
  <c r="E73" i="3"/>
  <c r="L73" i="3" s="1"/>
  <c r="E52" i="3"/>
  <c r="L52" i="3" s="1"/>
  <c r="I68" i="3"/>
  <c r="I51" i="3"/>
  <c r="I53" i="3"/>
  <c r="I69" i="3"/>
  <c r="I71" i="3"/>
  <c r="I57" i="3"/>
  <c r="I55" i="3"/>
  <c r="E62" i="3"/>
  <c r="L62" i="3" s="1"/>
  <c r="E53" i="3"/>
  <c r="L53" i="3" s="1"/>
  <c r="I60" i="3"/>
  <c r="E51" i="3"/>
  <c r="E56" i="3"/>
  <c r="L56" i="3" s="1"/>
  <c r="I67" i="3"/>
  <c r="E74" i="3"/>
  <c r="L74" i="3" s="1"/>
  <c r="E64" i="3"/>
  <c r="I56" i="3"/>
  <c r="E63" i="3"/>
  <c r="E65" i="3"/>
  <c r="I74" i="3"/>
  <c r="E72" i="3"/>
  <c r="L72" i="3" s="1"/>
  <c r="I54" i="3"/>
  <c r="I72" i="3"/>
  <c r="I44" i="3"/>
  <c r="I38" i="3"/>
  <c r="E36" i="3"/>
  <c r="L36" i="3" s="1"/>
  <c r="I19" i="3"/>
  <c r="E3" i="3"/>
  <c r="L4" i="3"/>
  <c r="L65" i="3" l="1"/>
  <c r="J65" i="3"/>
  <c r="K65" i="3" s="1"/>
  <c r="L63" i="3"/>
  <c r="J63" i="3"/>
  <c r="K63" i="3" s="1"/>
  <c r="L64" i="3"/>
  <c r="J64" i="3"/>
  <c r="K64" i="3" s="1"/>
  <c r="V11" i="3"/>
  <c r="V25" i="3"/>
  <c r="V23" i="3"/>
  <c r="V26" i="3"/>
  <c r="V61" i="3"/>
  <c r="V7" i="3"/>
  <c r="V18" i="3"/>
  <c r="W20" i="3"/>
  <c r="W17" i="3"/>
  <c r="W23" i="3"/>
  <c r="W13" i="3"/>
  <c r="W74" i="3"/>
  <c r="W25" i="3"/>
  <c r="W18" i="3"/>
  <c r="V12" i="3"/>
  <c r="W61" i="3"/>
  <c r="V19" i="3"/>
  <c r="W26" i="3"/>
  <c r="V14" i="3"/>
  <c r="V24" i="3"/>
  <c r="V71" i="3"/>
  <c r="V8" i="3"/>
  <c r="W11" i="3"/>
  <c r="V6" i="3"/>
  <c r="V17" i="3"/>
  <c r="W53" i="3"/>
  <c r="W24" i="3"/>
  <c r="W12" i="3"/>
  <c r="V20" i="3"/>
  <c r="X20" i="3" s="1"/>
  <c r="W65" i="3"/>
  <c r="W71" i="3"/>
  <c r="V53" i="3"/>
  <c r="W6" i="3"/>
  <c r="W8" i="3"/>
  <c r="W7" i="3"/>
  <c r="W14" i="3"/>
  <c r="X14" i="3" s="1"/>
  <c r="W19" i="3"/>
  <c r="V13" i="3"/>
  <c r="V65" i="3"/>
  <c r="L3" i="3"/>
  <c r="J3" i="3"/>
  <c r="V72" i="3"/>
  <c r="W5" i="3"/>
  <c r="V5" i="3"/>
  <c r="V41" i="3"/>
  <c r="V56" i="3"/>
  <c r="W31" i="3"/>
  <c r="V44" i="3"/>
  <c r="V42" i="3"/>
  <c r="W36" i="3"/>
  <c r="W72" i="3"/>
  <c r="V32" i="3"/>
  <c r="W49" i="3"/>
  <c r="W56" i="3"/>
  <c r="V59" i="3"/>
  <c r="L51" i="3"/>
  <c r="V62" i="3"/>
  <c r="W59" i="3"/>
  <c r="W66" i="3"/>
  <c r="W68" i="3"/>
  <c r="V55" i="3"/>
  <c r="W54" i="3"/>
  <c r="V73" i="3"/>
  <c r="V66" i="3"/>
  <c r="V68" i="3"/>
  <c r="V74" i="3"/>
  <c r="W55" i="3"/>
  <c r="V31" i="3"/>
  <c r="V48" i="3"/>
  <c r="W44" i="3"/>
  <c r="V50" i="3"/>
  <c r="W73" i="3"/>
  <c r="W41" i="3"/>
  <c r="W67" i="3"/>
  <c r="V54" i="3"/>
  <c r="V67" i="3"/>
  <c r="W62" i="3"/>
  <c r="V60" i="3"/>
  <c r="W60" i="3"/>
  <c r="V49" i="3"/>
  <c r="W50" i="3"/>
  <c r="V29" i="3"/>
  <c r="W48" i="3"/>
  <c r="W32" i="3"/>
  <c r="V36" i="3"/>
  <c r="W43" i="3"/>
  <c r="W37" i="3"/>
  <c r="W29" i="3"/>
  <c r="W42" i="3"/>
  <c r="W38" i="3"/>
  <c r="V43" i="3"/>
  <c r="W47" i="3"/>
  <c r="V38" i="3"/>
  <c r="V47" i="3"/>
  <c r="W35" i="3"/>
  <c r="V35" i="3"/>
  <c r="V30" i="3"/>
  <c r="W30" i="3"/>
  <c r="V37" i="3"/>
  <c r="X61" i="3" l="1"/>
  <c r="X19" i="3"/>
  <c r="X7" i="3"/>
  <c r="X26" i="3"/>
  <c r="X11" i="3"/>
  <c r="X65" i="3"/>
  <c r="X24" i="3"/>
  <c r="X18" i="3"/>
  <c r="X17" i="3"/>
  <c r="X25" i="3"/>
  <c r="X12" i="3"/>
  <c r="X23" i="3"/>
  <c r="X13" i="3"/>
  <c r="X71" i="3"/>
  <c r="X6" i="3"/>
  <c r="X8" i="3"/>
  <c r="X53" i="3"/>
  <c r="X74" i="3"/>
  <c r="X36" i="3"/>
  <c r="S55" i="3"/>
  <c r="S13" i="3"/>
  <c r="S44" i="3"/>
  <c r="S29" i="3"/>
  <c r="S30" i="3"/>
  <c r="S67" i="3"/>
  <c r="S19" i="3"/>
  <c r="S50" i="3"/>
  <c r="S61" i="3"/>
  <c r="S25" i="3"/>
  <c r="S59" i="3"/>
  <c r="S41" i="3"/>
  <c r="S72" i="3"/>
  <c r="S12" i="3"/>
  <c r="S31" i="3"/>
  <c r="S53" i="3"/>
  <c r="S65" i="3"/>
  <c r="S47" i="3"/>
  <c r="S68" i="3"/>
  <c r="S26" i="3"/>
  <c r="S73" i="3"/>
  <c r="S37" i="3"/>
  <c r="S71" i="3"/>
  <c r="S54" i="3"/>
  <c r="S11" i="3"/>
  <c r="S74" i="3"/>
  <c r="S18" i="3"/>
  <c r="S43" i="3"/>
  <c r="S60" i="3"/>
  <c r="S66" i="3"/>
  <c r="S62" i="3"/>
  <c r="S36" i="3"/>
  <c r="S49" i="3"/>
  <c r="S20" i="3"/>
  <c r="S56" i="3"/>
  <c r="S14" i="3"/>
  <c r="S42" i="3"/>
  <c r="S32" i="3"/>
  <c r="S17" i="3"/>
  <c r="S24" i="3"/>
  <c r="S48" i="3"/>
  <c r="S38" i="3"/>
  <c r="S23" i="3"/>
  <c r="S35" i="3"/>
  <c r="X44" i="3"/>
  <c r="X72" i="3"/>
  <c r="X5" i="3"/>
  <c r="X59" i="3"/>
  <c r="X31" i="3"/>
  <c r="X41" i="3"/>
  <c r="S6" i="3"/>
  <c r="S7" i="3"/>
  <c r="S8" i="3"/>
  <c r="S5" i="3"/>
  <c r="K3" i="3"/>
  <c r="X35" i="3"/>
  <c r="X56" i="3"/>
  <c r="X42" i="3"/>
  <c r="X66" i="3"/>
  <c r="X54" i="3"/>
  <c r="X50" i="3"/>
  <c r="X60" i="3"/>
  <c r="X48" i="3"/>
  <c r="X68" i="3"/>
  <c r="X47" i="3"/>
  <c r="X43" i="3"/>
  <c r="X73" i="3"/>
  <c r="X67" i="3"/>
  <c r="X32" i="3"/>
  <c r="X37" i="3"/>
  <c r="X55" i="3"/>
  <c r="X62" i="3"/>
  <c r="X49" i="3"/>
  <c r="X38" i="3"/>
  <c r="X30" i="3"/>
  <c r="X29" i="3"/>
  <c r="T66" i="3" l="1"/>
  <c r="T23" i="3"/>
  <c r="T20" i="3"/>
  <c r="Q20" i="3" s="1"/>
  <c r="T54" i="3"/>
  <c r="T65" i="3"/>
  <c r="R65" i="3" s="1"/>
  <c r="T38" i="3"/>
  <c r="T49" i="3"/>
  <c r="T68" i="3"/>
  <c r="Q68" i="3" s="1"/>
  <c r="T73" i="3"/>
  <c r="Q73" i="3" s="1"/>
  <c r="T74" i="3"/>
  <c r="R74" i="3" s="1"/>
  <c r="T55" i="3"/>
  <c r="R55" i="3" s="1"/>
  <c r="T36" i="3"/>
  <c r="T18" i="3"/>
  <c r="Q18" i="3" s="1"/>
  <c r="T14" i="3"/>
  <c r="R14" i="3" s="1"/>
  <c r="T25" i="3"/>
  <c r="Q25" i="3" s="1"/>
  <c r="T29" i="3"/>
  <c r="T42" i="3"/>
  <c r="T17" i="3"/>
  <c r="Q17" i="3" s="1"/>
  <c r="T43" i="3"/>
  <c r="T48" i="3"/>
  <c r="Q48" i="3" s="1"/>
  <c r="T56" i="3"/>
  <c r="R56" i="3" s="1"/>
  <c r="T35" i="3"/>
  <c r="T32" i="3"/>
  <c r="T67" i="3"/>
  <c r="Q67" i="3" s="1"/>
  <c r="T47" i="3"/>
  <c r="T31" i="3"/>
  <c r="T59" i="3"/>
  <c r="Q59" i="3" s="1"/>
  <c r="T50" i="3"/>
  <c r="R50" i="3" s="1"/>
  <c r="T62" i="3"/>
  <c r="T37" i="3"/>
  <c r="T61" i="3"/>
  <c r="T30" i="3"/>
  <c r="Q30" i="3" s="1"/>
  <c r="T12" i="3"/>
  <c r="T53" i="3"/>
  <c r="Q53" i="3" s="1"/>
  <c r="T13" i="3"/>
  <c r="T44" i="3"/>
  <c r="T11" i="3"/>
  <c r="T60" i="3"/>
  <c r="Q60" i="3" s="1"/>
  <c r="T41" i="3"/>
  <c r="T26" i="3"/>
  <c r="T19" i="3"/>
  <c r="T71" i="3"/>
  <c r="R71" i="3" s="1"/>
  <c r="T24" i="3"/>
  <c r="Q24" i="3" s="1"/>
  <c r="T72" i="3"/>
  <c r="R72" i="3" s="1"/>
  <c r="Q65" i="3"/>
  <c r="T6" i="3"/>
  <c r="Q6" i="3" s="1"/>
  <c r="T7" i="3"/>
  <c r="Q7" i="3" s="1"/>
  <c r="T8" i="3"/>
  <c r="R8" i="3" s="1"/>
  <c r="Q66" i="3"/>
  <c r="R66" i="3"/>
  <c r="T5" i="3"/>
  <c r="Q5" i="3" s="1"/>
  <c r="Q56" i="3" l="1"/>
  <c r="Q74" i="3"/>
  <c r="R30" i="3"/>
  <c r="Q71" i="3"/>
  <c r="R11" i="3"/>
  <c r="Q11" i="3"/>
  <c r="R18" i="3"/>
  <c r="R23" i="3"/>
  <c r="Q23" i="3"/>
  <c r="R24" i="3"/>
  <c r="R13" i="3"/>
  <c r="Q13" i="3"/>
  <c r="R20" i="3"/>
  <c r="R17" i="3"/>
  <c r="Q12" i="3"/>
  <c r="R12" i="3"/>
  <c r="Q61" i="3"/>
  <c r="R61" i="3"/>
  <c r="R53" i="3"/>
  <c r="R19" i="3"/>
  <c r="Q19" i="3"/>
  <c r="Z18" i="3" s="1"/>
  <c r="Q14" i="3"/>
  <c r="R26" i="3"/>
  <c r="Q26" i="3"/>
  <c r="R25" i="3"/>
  <c r="AA68" i="3"/>
  <c r="AB65" i="3"/>
  <c r="AA65" i="3"/>
  <c r="Z65" i="3"/>
  <c r="Y65" i="3"/>
  <c r="Y66" i="3"/>
  <c r="Z66" i="3"/>
  <c r="AA66" i="3"/>
  <c r="AB66" i="3"/>
  <c r="Y67" i="3"/>
  <c r="Z67" i="3"/>
  <c r="AA67" i="3"/>
  <c r="AB67" i="3"/>
  <c r="Y68" i="3"/>
  <c r="Z68" i="3"/>
  <c r="AB68" i="3"/>
  <c r="Q8" i="3"/>
  <c r="AA6" i="3" s="1"/>
  <c r="R6" i="3"/>
  <c r="R7" i="3"/>
  <c r="R5" i="3"/>
  <c r="R42" i="3"/>
  <c r="Q42" i="3"/>
  <c r="R67" i="3"/>
  <c r="R47" i="3"/>
  <c r="Q47" i="3"/>
  <c r="Q43" i="3"/>
  <c r="R43" i="3"/>
  <c r="R36" i="3"/>
  <c r="Q36" i="3"/>
  <c r="R29" i="3"/>
  <c r="Q29" i="3"/>
  <c r="R54" i="3"/>
  <c r="Q54" i="3"/>
  <c r="R68" i="3"/>
  <c r="R31" i="3"/>
  <c r="Q31" i="3"/>
  <c r="Q55" i="3"/>
  <c r="Q62" i="3"/>
  <c r="R62" i="3"/>
  <c r="Q38" i="3"/>
  <c r="R38" i="3"/>
  <c r="R60" i="3"/>
  <c r="Q49" i="3"/>
  <c r="R49" i="3"/>
  <c r="R41" i="3"/>
  <c r="Q41" i="3"/>
  <c r="R59" i="3"/>
  <c r="Q35" i="3"/>
  <c r="R35" i="3"/>
  <c r="R73" i="3"/>
  <c r="R32" i="3"/>
  <c r="Q32" i="3"/>
  <c r="Q72" i="3"/>
  <c r="Q50" i="3"/>
  <c r="Q44" i="3"/>
  <c r="R44" i="3"/>
  <c r="R37" i="3"/>
  <c r="Q37" i="3"/>
  <c r="R48" i="3"/>
  <c r="Y74" i="3" l="1"/>
  <c r="AA60" i="3"/>
  <c r="Z6" i="3"/>
  <c r="Z7" i="3"/>
  <c r="Y18" i="3"/>
  <c r="AB11" i="3"/>
  <c r="AA17" i="3"/>
  <c r="Z17" i="3"/>
  <c r="Y20" i="3"/>
  <c r="Y7" i="3"/>
  <c r="Y17" i="3"/>
  <c r="AB17" i="3"/>
  <c r="AB8" i="3"/>
  <c r="AB18" i="3"/>
  <c r="Y19" i="3"/>
  <c r="AA19" i="3"/>
  <c r="Z19" i="3"/>
  <c r="AB19" i="3"/>
  <c r="Z25" i="3"/>
  <c r="Z26" i="3"/>
  <c r="Y23" i="3"/>
  <c r="Z24" i="3"/>
  <c r="Y25" i="3"/>
  <c r="Y24" i="3"/>
  <c r="AA25" i="3"/>
  <c r="AA23" i="3"/>
  <c r="AB26" i="3"/>
  <c r="AB24" i="3"/>
  <c r="AA24" i="3"/>
  <c r="AB25" i="3"/>
  <c r="AA26" i="3"/>
  <c r="Y26" i="3"/>
  <c r="AB23" i="3"/>
  <c r="Z23" i="3"/>
  <c r="AA18" i="3"/>
  <c r="Z20" i="3"/>
  <c r="AA8" i="3"/>
  <c r="AA20" i="3"/>
  <c r="Z13" i="3"/>
  <c r="AB14" i="3"/>
  <c r="Z11" i="3"/>
  <c r="Y12" i="3"/>
  <c r="Y13" i="3"/>
  <c r="AA11" i="3"/>
  <c r="AA14" i="3"/>
  <c r="AB13" i="3"/>
  <c r="AB12" i="3"/>
  <c r="Z12" i="3"/>
  <c r="AA13" i="3"/>
  <c r="Z14" i="3"/>
  <c r="AA12" i="3"/>
  <c r="Y11" i="3"/>
  <c r="Y14" i="3"/>
  <c r="AB20" i="3"/>
  <c r="AB72" i="3"/>
  <c r="Z71" i="3"/>
  <c r="Y5" i="3"/>
  <c r="AA72" i="3"/>
  <c r="AA73" i="3"/>
  <c r="AA71" i="3"/>
  <c r="Z72" i="3"/>
  <c r="AB71" i="3"/>
  <c r="Y72" i="3"/>
  <c r="AB73" i="3"/>
  <c r="AB74" i="3"/>
  <c r="Z73" i="3"/>
  <c r="AA74" i="3"/>
  <c r="AB6" i="3"/>
  <c r="Y73" i="3"/>
  <c r="Z74" i="3"/>
  <c r="Y71" i="3"/>
  <c r="O65" i="3"/>
  <c r="Y6" i="3"/>
  <c r="Y8" i="3"/>
  <c r="AB59" i="3"/>
  <c r="AB7" i="3"/>
  <c r="AA59" i="3"/>
  <c r="AA7" i="3"/>
  <c r="AA62" i="3"/>
  <c r="AB62" i="3"/>
  <c r="Y62" i="3"/>
  <c r="Z62" i="3"/>
  <c r="AA61" i="3"/>
  <c r="Z61" i="3"/>
  <c r="AB60" i="3"/>
  <c r="Z60" i="3"/>
  <c r="Y60" i="3"/>
  <c r="Y59" i="3"/>
  <c r="AB61" i="3"/>
  <c r="Y61" i="3"/>
  <c r="Z56" i="3"/>
  <c r="AA56" i="3"/>
  <c r="AA55" i="3"/>
  <c r="Y55" i="3"/>
  <c r="AB55" i="3"/>
  <c r="Z55" i="3"/>
  <c r="AB56" i="3"/>
  <c r="Z8" i="3"/>
  <c r="Y41" i="3"/>
  <c r="Y54" i="3"/>
  <c r="AB53" i="3"/>
  <c r="Z54" i="3"/>
  <c r="AA53" i="3"/>
  <c r="AA54" i="3"/>
  <c r="Z53" i="3"/>
  <c r="AB54" i="3"/>
  <c r="Y53" i="3"/>
  <c r="Z59" i="3"/>
  <c r="Y56" i="3"/>
  <c r="Y32" i="3"/>
  <c r="Z32" i="3"/>
  <c r="AA32" i="3"/>
  <c r="AB32" i="3"/>
  <c r="AB49" i="3"/>
  <c r="AA49" i="3"/>
  <c r="Y49" i="3"/>
  <c r="Z49" i="3"/>
  <c r="Y47" i="3"/>
  <c r="AB47" i="3"/>
  <c r="AA47" i="3"/>
  <c r="Z47" i="3"/>
  <c r="AB48" i="3"/>
  <c r="AA48" i="3"/>
  <c r="Z48" i="3"/>
  <c r="Y48" i="3"/>
  <c r="AB5" i="3"/>
  <c r="AA5" i="3"/>
  <c r="Z5" i="3"/>
  <c r="AB30" i="3"/>
  <c r="Z30" i="3"/>
  <c r="Y29" i="3"/>
  <c r="AB29" i="3"/>
  <c r="AA29" i="3"/>
  <c r="Y30" i="3"/>
  <c r="Z29" i="3"/>
  <c r="AA30" i="3"/>
  <c r="Y42" i="3"/>
  <c r="Y43" i="3"/>
  <c r="AA43" i="3"/>
  <c r="Z43" i="3"/>
  <c r="O66" i="3"/>
  <c r="AB42" i="3"/>
  <c r="AB41" i="3"/>
  <c r="Z42" i="3"/>
  <c r="Y44" i="3"/>
  <c r="O68" i="3"/>
  <c r="AA44" i="3"/>
  <c r="Z44" i="3"/>
  <c r="AA41" i="3"/>
  <c r="Z41" i="3"/>
  <c r="O67" i="3"/>
  <c r="AB44" i="3"/>
  <c r="AA42" i="3"/>
  <c r="AB43" i="3"/>
  <c r="Y35" i="3"/>
  <c r="Y37" i="3"/>
  <c r="AA37" i="3"/>
  <c r="AA35" i="3"/>
  <c r="AA36" i="3"/>
  <c r="Y38" i="3"/>
  <c r="Y36" i="3"/>
  <c r="AB36" i="3"/>
  <c r="AB35" i="3"/>
  <c r="Z35" i="3"/>
  <c r="AB37" i="3"/>
  <c r="AA38" i="3"/>
  <c r="Z37" i="3"/>
  <c r="Z38" i="3"/>
  <c r="Z36" i="3"/>
  <c r="AB38" i="3"/>
  <c r="Y31" i="3"/>
  <c r="AA31" i="3"/>
  <c r="Z31" i="3"/>
  <c r="AB31" i="3"/>
  <c r="AB50" i="3"/>
  <c r="AA50" i="3"/>
  <c r="Z50" i="3"/>
  <c r="Y50" i="3"/>
  <c r="O20" i="3" l="1"/>
  <c r="O13" i="3"/>
  <c r="O6" i="3"/>
  <c r="O7" i="3"/>
  <c r="O49" i="3"/>
  <c r="AJ68" i="3"/>
  <c r="AN66" i="3"/>
  <c r="AJ65" i="3"/>
  <c r="AF68" i="3"/>
  <c r="AI68" i="3"/>
  <c r="AM66" i="3"/>
  <c r="AI65" i="3"/>
  <c r="AF65" i="3"/>
  <c r="AH68" i="3"/>
  <c r="AL66" i="3"/>
  <c r="AH65" i="3"/>
  <c r="E19" i="4" s="1"/>
  <c r="AG68" i="3"/>
  <c r="AK66" i="3"/>
  <c r="AG65" i="3"/>
  <c r="AN67" i="3"/>
  <c r="AJ66" i="3"/>
  <c r="AM67" i="3"/>
  <c r="AI66" i="3"/>
  <c r="AL68" i="3"/>
  <c r="AH67" i="3"/>
  <c r="AL65" i="3"/>
  <c r="AF66" i="3"/>
  <c r="AL67" i="3"/>
  <c r="AH66" i="3"/>
  <c r="E15" i="4" s="1"/>
  <c r="AK67" i="3"/>
  <c r="AG66" i="3"/>
  <c r="AN68" i="3"/>
  <c r="AJ67" i="3"/>
  <c r="AN65" i="3"/>
  <c r="AM68" i="3"/>
  <c r="AI67" i="3"/>
  <c r="AM65" i="3"/>
  <c r="AK68" i="3"/>
  <c r="AG67" i="3"/>
  <c r="AK65" i="3"/>
  <c r="AF67" i="3"/>
  <c r="AQ15" i="3" s="1"/>
  <c r="BA15" i="3" s="1"/>
  <c r="O62" i="3"/>
  <c r="O71" i="3"/>
  <c r="O56" i="3"/>
  <c r="O54" i="3"/>
  <c r="O48" i="3"/>
  <c r="O73" i="3"/>
  <c r="O74" i="3"/>
  <c r="O47" i="3"/>
  <c r="AF47" i="3" s="1"/>
  <c r="O55" i="3"/>
  <c r="O5" i="3"/>
  <c r="O72" i="3"/>
  <c r="O32" i="3"/>
  <c r="O61" i="3"/>
  <c r="O59" i="3"/>
  <c r="O60" i="3"/>
  <c r="O31" i="3"/>
  <c r="O37" i="3"/>
  <c r="O35" i="3"/>
  <c r="AH35" i="3" s="1"/>
  <c r="E7" i="4" s="1"/>
  <c r="O23" i="3"/>
  <c r="AL23" i="3" s="1"/>
  <c r="O11" i="3"/>
  <c r="O30" i="3"/>
  <c r="O43" i="3"/>
  <c r="O36" i="3"/>
  <c r="O42" i="3"/>
  <c r="O18" i="3"/>
  <c r="O19" i="3"/>
  <c r="O38" i="3"/>
  <c r="O50" i="3"/>
  <c r="O24" i="3"/>
  <c r="O25" i="3"/>
  <c r="O17" i="3"/>
  <c r="O26" i="3"/>
  <c r="O29" i="3"/>
  <c r="O44" i="3"/>
  <c r="O41" i="3"/>
  <c r="O8" i="3"/>
  <c r="O14" i="3"/>
  <c r="O12" i="3"/>
  <c r="AW15" i="3" l="1"/>
  <c r="AX15" i="3"/>
  <c r="AT15" i="3"/>
  <c r="AV15" i="3"/>
  <c r="AU15" i="3"/>
  <c r="AK5" i="3"/>
  <c r="AH5" i="3"/>
  <c r="E11" i="4" s="1"/>
  <c r="AL36" i="3"/>
  <c r="AJ35" i="3"/>
  <c r="AK35" i="3"/>
  <c r="AN6" i="3"/>
  <c r="AN74" i="3"/>
  <c r="AJ73" i="3"/>
  <c r="AN71" i="3"/>
  <c r="AM74" i="3"/>
  <c r="AI73" i="3"/>
  <c r="AM71" i="3"/>
  <c r="AL74" i="3"/>
  <c r="AH73" i="3"/>
  <c r="AL71" i="3"/>
  <c r="AK74" i="3"/>
  <c r="AG73" i="3"/>
  <c r="AK71" i="3"/>
  <c r="AJ74" i="3"/>
  <c r="AN72" i="3"/>
  <c r="AJ71" i="3"/>
  <c r="AI74" i="3"/>
  <c r="AM72" i="3"/>
  <c r="AI71" i="3"/>
  <c r="AL73" i="3"/>
  <c r="AH72" i="3"/>
  <c r="K15" i="4" s="1"/>
  <c r="AH74" i="3"/>
  <c r="AL72" i="3"/>
  <c r="AH71" i="3"/>
  <c r="E12" i="4" s="1"/>
  <c r="AF72" i="3"/>
  <c r="AG74" i="3"/>
  <c r="AK72" i="3"/>
  <c r="AG71" i="3"/>
  <c r="AF73" i="3"/>
  <c r="AQ16" i="3" s="1"/>
  <c r="BA16" i="3" s="1"/>
  <c r="AN73" i="3"/>
  <c r="AJ72" i="3"/>
  <c r="AF74" i="3"/>
  <c r="AM73" i="3"/>
  <c r="AI72" i="3"/>
  <c r="AF71" i="3"/>
  <c r="AK73" i="3"/>
  <c r="AG72" i="3"/>
  <c r="AG59" i="3"/>
  <c r="AF59" i="3"/>
  <c r="AG62" i="3"/>
  <c r="AN59" i="3"/>
  <c r="AI59" i="3"/>
  <c r="AM59" i="3"/>
  <c r="AL59" i="3"/>
  <c r="AK59" i="3"/>
  <c r="AJ59" i="3"/>
  <c r="AH59" i="3"/>
  <c r="E18" i="4" s="1"/>
  <c r="AI8" i="3"/>
  <c r="AI6" i="3"/>
  <c r="AM6" i="3"/>
  <c r="AK8" i="3"/>
  <c r="AM8" i="3"/>
  <c r="AF6" i="3"/>
  <c r="AN8" i="3"/>
  <c r="AL5" i="3"/>
  <c r="AF7" i="3"/>
  <c r="AQ5" i="3" s="1"/>
  <c r="BA5" i="3" s="1"/>
  <c r="AL8" i="3"/>
  <c r="AH8" i="3"/>
  <c r="AM5" i="3"/>
  <c r="AL6" i="3"/>
  <c r="AG8" i="3"/>
  <c r="AF5" i="3"/>
  <c r="AJ8" i="3"/>
  <c r="AN5" i="3"/>
  <c r="AJ5" i="3"/>
  <c r="AJ6" i="3"/>
  <c r="AF38" i="3"/>
  <c r="AF8" i="3"/>
  <c r="AF35" i="3"/>
  <c r="AI5" i="3"/>
  <c r="AN35" i="3"/>
  <c r="AG6" i="3"/>
  <c r="AH6" i="3"/>
  <c r="E5" i="4" s="1"/>
  <c r="AK6" i="3"/>
  <c r="AG5" i="3"/>
  <c r="AJ60" i="3"/>
  <c r="AF37" i="3"/>
  <c r="AQ10" i="3" s="1"/>
  <c r="BA10" i="3" s="1"/>
  <c r="AF36" i="3"/>
  <c r="AJ37" i="3"/>
  <c r="AL35" i="3"/>
  <c r="AM36" i="3"/>
  <c r="AG35" i="3"/>
  <c r="AN38" i="3"/>
  <c r="AK37" i="3"/>
  <c r="AK36" i="3"/>
  <c r="AG36" i="3"/>
  <c r="AI35" i="3"/>
  <c r="AI36" i="3"/>
  <c r="AM35" i="3"/>
  <c r="AM37" i="3"/>
  <c r="AH37" i="3"/>
  <c r="AH38" i="3"/>
  <c r="AI37" i="3"/>
  <c r="AG37" i="3"/>
  <c r="AL37" i="3"/>
  <c r="AN37" i="3"/>
  <c r="AM62" i="3"/>
  <c r="AN36" i="3"/>
  <c r="AH36" i="3"/>
  <c r="K8" i="4" s="1"/>
  <c r="AJ38" i="3"/>
  <c r="AM23" i="3"/>
  <c r="AN23" i="3"/>
  <c r="AF23" i="3"/>
  <c r="AH23" i="3"/>
  <c r="E13" i="4" s="1"/>
  <c r="AI23" i="3"/>
  <c r="AJ23" i="3"/>
  <c r="AK23" i="3"/>
  <c r="AG26" i="3"/>
  <c r="AG23" i="3"/>
  <c r="AI26" i="3"/>
  <c r="AF25" i="3"/>
  <c r="AQ8" i="3" s="1"/>
  <c r="BA8" i="3" s="1"/>
  <c r="AL60" i="3"/>
  <c r="AL25" i="3"/>
  <c r="AH61" i="3"/>
  <c r="AJ62" i="3"/>
  <c r="AJ7" i="3"/>
  <c r="AH25" i="3"/>
  <c r="AM26" i="3"/>
  <c r="AN61" i="3"/>
  <c r="AF24" i="3"/>
  <c r="AM61" i="3"/>
  <c r="AI7" i="3"/>
  <c r="AN24" i="3"/>
  <c r="AL38" i="3"/>
  <c r="AF26" i="3"/>
  <c r="AH62" i="3"/>
  <c r="AL7" i="3"/>
  <c r="AI61" i="3"/>
  <c r="AI38" i="3"/>
  <c r="AJ24" i="3"/>
  <c r="AI62" i="3"/>
  <c r="AM38" i="3"/>
  <c r="AH11" i="3"/>
  <c r="E17" i="4" s="1"/>
  <c r="AM11" i="3"/>
  <c r="AJ11" i="3"/>
  <c r="AL11" i="3"/>
  <c r="AN11" i="3"/>
  <c r="AI11" i="3"/>
  <c r="AF11" i="3"/>
  <c r="AG11" i="3"/>
  <c r="AK11" i="3"/>
  <c r="AK26" i="3"/>
  <c r="AK24" i="3"/>
  <c r="AG38" i="3"/>
  <c r="AK38" i="3"/>
  <c r="AH24" i="3"/>
  <c r="E20" i="4" s="1"/>
  <c r="AI24" i="3"/>
  <c r="AI60" i="3"/>
  <c r="AJ36" i="3"/>
  <c r="AH7" i="3"/>
  <c r="AI50" i="3"/>
  <c r="AL50" i="3"/>
  <c r="AN49" i="3"/>
  <c r="AH47" i="3"/>
  <c r="E16" i="4" s="1"/>
  <c r="AM47" i="3"/>
  <c r="AL47" i="3"/>
  <c r="AM48" i="3"/>
  <c r="AK50" i="3"/>
  <c r="AG49" i="3"/>
  <c r="AI47" i="3"/>
  <c r="AI48" i="3"/>
  <c r="AN50" i="3"/>
  <c r="AL48" i="3"/>
  <c r="AJ50" i="3"/>
  <c r="AH50" i="3"/>
  <c r="AH49" i="3"/>
  <c r="AG47" i="3"/>
  <c r="AJ47" i="3"/>
  <c r="AL49" i="3"/>
  <c r="AK47" i="3"/>
  <c r="AK48" i="3"/>
  <c r="AN47" i="3"/>
  <c r="AF48" i="3"/>
  <c r="AF49" i="3"/>
  <c r="AQ12" i="3" s="1"/>
  <c r="BA12" i="3" s="1"/>
  <c r="AM50" i="3"/>
  <c r="AJ48" i="3"/>
  <c r="AF50" i="3"/>
  <c r="AG48" i="3"/>
  <c r="AM49" i="3"/>
  <c r="AJ49" i="3"/>
  <c r="AG50" i="3"/>
  <c r="AH48" i="3"/>
  <c r="K18" i="4" s="1"/>
  <c r="AK49" i="3"/>
  <c r="AN48" i="3"/>
  <c r="AI49" i="3"/>
  <c r="AL17" i="3"/>
  <c r="AF17" i="3"/>
  <c r="AH19" i="3"/>
  <c r="AI19" i="3"/>
  <c r="AH20" i="3"/>
  <c r="AK18" i="3"/>
  <c r="AI17" i="3"/>
  <c r="AN20" i="3"/>
  <c r="AL18" i="3"/>
  <c r="AG18" i="3"/>
  <c r="AJ18" i="3"/>
  <c r="AH18" i="3"/>
  <c r="K7" i="4" s="1"/>
  <c r="AG19" i="3"/>
  <c r="AI18" i="3"/>
  <c r="AM19" i="3"/>
  <c r="AF20" i="3"/>
  <c r="AJ20" i="3"/>
  <c r="AN17" i="3"/>
  <c r="AH17" i="3"/>
  <c r="E8" i="4" s="1"/>
  <c r="AM17" i="3"/>
  <c r="AF19" i="3"/>
  <c r="AQ7" i="3" s="1"/>
  <c r="BA7" i="3" s="1"/>
  <c r="AN19" i="3"/>
  <c r="AL20" i="3"/>
  <c r="AJ17" i="3"/>
  <c r="AK20" i="3"/>
  <c r="AK17" i="3"/>
  <c r="AF18" i="3"/>
  <c r="AM18" i="3"/>
  <c r="AG17" i="3"/>
  <c r="AL19" i="3"/>
  <c r="AI20" i="3"/>
  <c r="AJ19" i="3"/>
  <c r="AK19" i="3"/>
  <c r="AM20" i="3"/>
  <c r="AN18" i="3"/>
  <c r="AG20" i="3"/>
  <c r="AL24" i="3"/>
  <c r="AJ25" i="3"/>
  <c r="AN62" i="3"/>
  <c r="AH60" i="3"/>
  <c r="K16" i="4" s="1"/>
  <c r="AG7" i="3"/>
  <c r="AF62" i="3"/>
  <c r="AM7" i="3"/>
  <c r="AI25" i="3"/>
  <c r="AG25" i="3"/>
  <c r="AH26" i="3"/>
  <c r="AL62" i="3"/>
  <c r="AG61" i="3"/>
  <c r="AL26" i="3"/>
  <c r="AK62" i="3"/>
  <c r="AK60" i="3"/>
  <c r="AK61" i="3"/>
  <c r="AN7" i="3"/>
  <c r="AM24" i="3"/>
  <c r="AG24" i="3"/>
  <c r="AJ61" i="3"/>
  <c r="AN60" i="3"/>
  <c r="AF61" i="3"/>
  <c r="AQ14" i="3" s="1"/>
  <c r="BA14" i="3" s="1"/>
  <c r="AK7" i="3"/>
  <c r="AM31" i="3"/>
  <c r="AL29" i="3"/>
  <c r="AF29" i="3"/>
  <c r="AN30" i="3"/>
  <c r="AF31" i="3"/>
  <c r="AQ9" i="3" s="1"/>
  <c r="BA9" i="3" s="1"/>
  <c r="AM30" i="3"/>
  <c r="AI31" i="3"/>
  <c r="AF32" i="3"/>
  <c r="AJ32" i="3"/>
  <c r="AG29" i="3"/>
  <c r="AJ29" i="3"/>
  <c r="AI30" i="3"/>
  <c r="AF30" i="3"/>
  <c r="AJ31" i="3"/>
  <c r="AN32" i="3"/>
  <c r="AL30" i="3"/>
  <c r="AH29" i="3"/>
  <c r="E6" i="4" s="1"/>
  <c r="AH32" i="3"/>
  <c r="AI32" i="3"/>
  <c r="AG32" i="3"/>
  <c r="AG31" i="3"/>
  <c r="AK30" i="3"/>
  <c r="AG30" i="3"/>
  <c r="AH30" i="3"/>
  <c r="E10" i="4" s="1"/>
  <c r="AN31" i="3"/>
  <c r="AN29" i="3"/>
  <c r="AK29" i="3"/>
  <c r="AL31" i="3"/>
  <c r="AI29" i="3"/>
  <c r="AH31" i="3"/>
  <c r="AK31" i="3"/>
  <c r="AM32" i="3"/>
  <c r="AM29" i="3"/>
  <c r="AJ30" i="3"/>
  <c r="AL32" i="3"/>
  <c r="AK32" i="3"/>
  <c r="AJ13" i="3"/>
  <c r="AM13" i="3"/>
  <c r="AH13" i="3"/>
  <c r="AJ14" i="3"/>
  <c r="AF14" i="3"/>
  <c r="AN13" i="3"/>
  <c r="AL14" i="3"/>
  <c r="AI13" i="3"/>
  <c r="AM14" i="3"/>
  <c r="AM12" i="3"/>
  <c r="AH14" i="3"/>
  <c r="AK12" i="3"/>
  <c r="AJ12" i="3"/>
  <c r="AN14" i="3"/>
  <c r="AK13" i="3"/>
  <c r="AF12" i="3"/>
  <c r="AH12" i="3"/>
  <c r="K5" i="4" s="1"/>
  <c r="AN12" i="3"/>
  <c r="AI14" i="3"/>
  <c r="AI12" i="3"/>
  <c r="AG12" i="3"/>
  <c r="AG13" i="3"/>
  <c r="AG14" i="3"/>
  <c r="AK14" i="3"/>
  <c r="AL12" i="3"/>
  <c r="AL13" i="3"/>
  <c r="AF13" i="3"/>
  <c r="AQ6" i="3" s="1"/>
  <c r="BA6" i="3" s="1"/>
  <c r="AF42" i="3"/>
  <c r="AH41" i="3"/>
  <c r="E14" i="4" s="1"/>
  <c r="AG42" i="3"/>
  <c r="AJ44" i="3"/>
  <c r="AN43" i="3"/>
  <c r="AL43" i="3"/>
  <c r="AI43" i="3"/>
  <c r="AG44" i="3"/>
  <c r="AJ42" i="3"/>
  <c r="AI44" i="3"/>
  <c r="AM43" i="3"/>
  <c r="AM41" i="3"/>
  <c r="AF43" i="3"/>
  <c r="AQ11" i="3" s="1"/>
  <c r="BA11" i="3" s="1"/>
  <c r="AK41" i="3"/>
  <c r="AG43" i="3"/>
  <c r="AL44" i="3"/>
  <c r="AH43" i="3"/>
  <c r="AF41" i="3"/>
  <c r="AN42" i="3"/>
  <c r="AK43" i="3"/>
  <c r="AH42" i="3"/>
  <c r="K20" i="4" s="1"/>
  <c r="AL41" i="3"/>
  <c r="AI42" i="3"/>
  <c r="AJ43" i="3"/>
  <c r="AN41" i="3"/>
  <c r="AN44" i="3"/>
  <c r="AM44" i="3"/>
  <c r="AK42" i="3"/>
  <c r="AH44" i="3"/>
  <c r="AK44" i="3"/>
  <c r="AG41" i="3"/>
  <c r="AL42" i="3"/>
  <c r="AM42" i="3"/>
  <c r="AJ41" i="3"/>
  <c r="AI41" i="3"/>
  <c r="AF44" i="3"/>
  <c r="AM25" i="3"/>
  <c r="AN25" i="3"/>
  <c r="AJ26" i="3"/>
  <c r="AL61" i="3"/>
  <c r="AF60" i="3"/>
  <c r="AG60" i="3"/>
  <c r="AK25" i="3"/>
  <c r="AN26" i="3"/>
  <c r="AM60" i="3"/>
  <c r="AT7" i="3" l="1"/>
  <c r="AU7" i="3"/>
  <c r="AV7" i="3"/>
  <c r="AX7" i="3"/>
  <c r="AW7" i="3"/>
  <c r="AU5" i="3"/>
  <c r="AX5" i="3"/>
  <c r="AW5" i="3"/>
  <c r="AV5" i="3"/>
  <c r="AT5" i="3"/>
  <c r="AT9" i="3"/>
  <c r="AU9" i="3"/>
  <c r="AV9" i="3"/>
  <c r="AW9" i="3"/>
  <c r="AX9" i="3"/>
  <c r="AT11" i="3"/>
  <c r="AU11" i="3"/>
  <c r="AV11" i="3"/>
  <c r="AW11" i="3"/>
  <c r="AX11" i="3"/>
  <c r="AT6" i="3"/>
  <c r="AU6" i="3"/>
  <c r="AV6" i="3"/>
  <c r="AW6" i="3"/>
  <c r="AX6" i="3"/>
  <c r="AX12" i="3"/>
  <c r="AT12" i="3"/>
  <c r="AU12" i="3"/>
  <c r="AV12" i="3"/>
  <c r="AW12" i="3"/>
  <c r="AT14" i="3"/>
  <c r="AU14" i="3"/>
  <c r="AV14" i="3"/>
  <c r="AW14" i="3"/>
  <c r="AX14" i="3"/>
  <c r="AX10" i="3"/>
  <c r="AW10" i="3"/>
  <c r="AV10" i="3"/>
  <c r="AU10" i="3"/>
  <c r="AT10" i="3"/>
  <c r="AT16" i="3"/>
  <c r="AU16" i="3"/>
  <c r="AV16" i="3"/>
  <c r="AW16" i="3"/>
  <c r="AX16" i="3"/>
  <c r="AR15" i="3"/>
  <c r="AS15" i="3"/>
  <c r="AV8" i="3"/>
  <c r="AW8" i="3"/>
  <c r="AX8" i="3"/>
  <c r="AT8" i="3"/>
  <c r="AU8" i="3"/>
  <c r="AY15" i="3"/>
  <c r="O53" i="3"/>
  <c r="AY6" i="3" l="1"/>
  <c r="AY7" i="3"/>
  <c r="AY9" i="3"/>
  <c r="AY16" i="3"/>
  <c r="AY14" i="3"/>
  <c r="AR6" i="3"/>
  <c r="AS6" i="3"/>
  <c r="AY12" i="3"/>
  <c r="AY11" i="3"/>
  <c r="AR11" i="3"/>
  <c r="AS11" i="3"/>
  <c r="AR14" i="3"/>
  <c r="AS14" i="3"/>
  <c r="AR10" i="3"/>
  <c r="AS10" i="3"/>
  <c r="AR8" i="3"/>
  <c r="AS8" i="3"/>
  <c r="AR12" i="3"/>
  <c r="AS12" i="3"/>
  <c r="AR9" i="3"/>
  <c r="AS9" i="3"/>
  <c r="AR16" i="3"/>
  <c r="AS16" i="3"/>
  <c r="AY8" i="3"/>
  <c r="AY10" i="3"/>
  <c r="AR7" i="3"/>
  <c r="AS7" i="3"/>
  <c r="AN56" i="3"/>
  <c r="AF53" i="3"/>
  <c r="AN53" i="3"/>
  <c r="AK53" i="3"/>
  <c r="AG53" i="3"/>
  <c r="AF56" i="3"/>
  <c r="AI56" i="3"/>
  <c r="AI55" i="3"/>
  <c r="AG55" i="3"/>
  <c r="AK55" i="3"/>
  <c r="AN55" i="3"/>
  <c r="AM56" i="3"/>
  <c r="AK56" i="3"/>
  <c r="AH56" i="3"/>
  <c r="AM55" i="3"/>
  <c r="AI54" i="3"/>
  <c r="AL54" i="3"/>
  <c r="AM53" i="3"/>
  <c r="AK54" i="3"/>
  <c r="AJ53" i="3"/>
  <c r="AH54" i="3"/>
  <c r="K10" i="4" s="1"/>
  <c r="AF54" i="3"/>
  <c r="AL56" i="3"/>
  <c r="AJ54" i="3"/>
  <c r="AG54" i="3"/>
  <c r="AN54" i="3"/>
  <c r="AH53" i="3"/>
  <c r="E9" i="4" s="1"/>
  <c r="AH55" i="3"/>
  <c r="AM54" i="3"/>
  <c r="AJ56" i="3"/>
  <c r="AG56" i="3"/>
  <c r="AJ55" i="3"/>
  <c r="AL53" i="3"/>
  <c r="AL55" i="3"/>
  <c r="AI53" i="3"/>
  <c r="AF55" i="3"/>
  <c r="AQ13" i="3" s="1"/>
  <c r="BA13" i="3" s="1"/>
  <c r="AU13" i="3" l="1"/>
  <c r="AV13" i="3"/>
  <c r="AW13" i="3"/>
  <c r="AX13" i="3"/>
  <c r="AT13" i="3"/>
  <c r="AY13" i="3" l="1"/>
  <c r="AR13" i="3"/>
  <c r="AS13" i="3"/>
  <c r="AY5" i="3"/>
  <c r="AS5" i="3" l="1"/>
  <c r="AR5" i="3"/>
  <c r="BB11" i="3" l="1"/>
  <c r="BE9" i="3"/>
  <c r="BB10" i="3"/>
  <c r="BC14" i="3"/>
  <c r="BD7" i="3"/>
  <c r="BE11" i="3"/>
  <c r="BB9" i="3"/>
  <c r="BC10" i="3"/>
  <c r="BB14" i="3"/>
  <c r="BC15" i="3"/>
  <c r="BC11" i="3"/>
  <c r="BC9" i="3"/>
  <c r="BD10" i="3"/>
  <c r="BD14" i="3"/>
  <c r="BC5" i="3"/>
  <c r="BD6" i="3"/>
  <c r="BD11" i="3"/>
  <c r="BD9" i="3"/>
  <c r="BE10" i="3"/>
  <c r="BE14" i="3"/>
  <c r="BE7" i="3"/>
  <c r="BB13" i="3"/>
  <c r="BC16" i="3"/>
  <c r="BB12" i="3"/>
  <c r="BE5" i="3"/>
  <c r="BC8" i="3"/>
  <c r="BE13" i="3"/>
  <c r="BD16" i="3"/>
  <c r="BC12" i="3"/>
  <c r="BD5" i="3"/>
  <c r="BC13" i="3"/>
  <c r="BB16" i="3"/>
  <c r="BE12" i="3"/>
  <c r="BB5" i="3"/>
  <c r="BB15" i="3"/>
  <c r="BB8" i="3"/>
  <c r="BB7" i="3"/>
  <c r="BC6" i="3"/>
  <c r="BD13" i="3"/>
  <c r="BE16" i="3"/>
  <c r="BD12" i="3"/>
  <c r="BB6" i="3"/>
  <c r="BE15" i="3"/>
  <c r="BE8" i="3"/>
  <c r="BC7" i="3"/>
  <c r="BE6" i="3"/>
  <c r="BD15" i="3"/>
  <c r="BD8" i="3"/>
  <c r="AP10" i="3" l="1"/>
  <c r="AP13" i="3"/>
  <c r="AP6" i="3"/>
  <c r="AP7" i="3"/>
  <c r="AP5" i="3"/>
  <c r="AP12" i="3"/>
  <c r="AP14" i="3"/>
  <c r="AP16" i="3"/>
  <c r="AP9" i="3"/>
  <c r="AP8" i="3"/>
  <c r="AP11" i="3"/>
  <c r="AP15" i="3"/>
  <c r="BJ5" i="3" l="1"/>
  <c r="AQ21" i="3"/>
  <c r="AR21" i="3" s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0" i="3"/>
  <c r="AR20" i="3" s="1"/>
  <c r="BM16" i="3"/>
  <c r="BJ6" i="3"/>
  <c r="BM7" i="3"/>
  <c r="BK5" i="3"/>
  <c r="BO5" i="3"/>
  <c r="BJ16" i="3"/>
  <c r="BP5" i="3"/>
  <c r="BQ5" i="3"/>
  <c r="BN6" i="3"/>
  <c r="BM5" i="3"/>
  <c r="BL16" i="3"/>
  <c r="BN5" i="3"/>
  <c r="BL6" i="3"/>
  <c r="BO6" i="3"/>
  <c r="BO16" i="3"/>
  <c r="BL5" i="3"/>
  <c r="BM6" i="3"/>
  <c r="BR16" i="3"/>
  <c r="BQ6" i="3"/>
  <c r="BK6" i="3"/>
  <c r="BN9" i="3"/>
  <c r="BP7" i="3"/>
  <c r="BR9" i="3"/>
  <c r="BO8" i="3"/>
  <c r="BK7" i="3"/>
  <c r="BM8" i="3"/>
  <c r="BJ11" i="3"/>
  <c r="BJ13" i="3"/>
  <c r="BJ9" i="3"/>
  <c r="BJ7" i="3"/>
  <c r="BL9" i="3"/>
  <c r="BN14" i="3"/>
  <c r="BQ11" i="3"/>
  <c r="BQ16" i="3"/>
  <c r="BL8" i="3"/>
  <c r="BJ8" i="3"/>
  <c r="BK9" i="3"/>
  <c r="BQ8" i="3"/>
  <c r="BR6" i="3"/>
  <c r="BP6" i="3"/>
  <c r="BQ7" i="3"/>
  <c r="BN7" i="3"/>
  <c r="BN16" i="3"/>
  <c r="BP8" i="3"/>
  <c r="BK16" i="3"/>
  <c r="BR5" i="3"/>
  <c r="BQ14" i="3"/>
  <c r="BP9" i="3"/>
  <c r="BM10" i="3"/>
  <c r="BP16" i="3"/>
  <c r="BN10" i="3"/>
  <c r="BK10" i="3"/>
  <c r="BL13" i="3"/>
  <c r="BN12" i="3"/>
  <c r="BM11" i="3"/>
  <c r="BN13" i="3"/>
  <c r="BO13" i="3"/>
  <c r="BJ12" i="3"/>
  <c r="BM12" i="3"/>
  <c r="BR15" i="3"/>
  <c r="BP14" i="3"/>
  <c r="BK12" i="3"/>
  <c r="BQ10" i="3"/>
  <c r="BR10" i="3"/>
  <c r="BP10" i="3"/>
  <c r="BO12" i="3"/>
  <c r="BR11" i="3"/>
  <c r="BL12" i="3"/>
  <c r="BO10" i="3"/>
  <c r="BR13" i="3"/>
  <c r="BO9" i="3"/>
  <c r="BK8" i="3"/>
  <c r="BM9" i="3"/>
  <c r="BR7" i="3"/>
  <c r="BK15" i="3"/>
  <c r="BL10" i="3"/>
  <c r="BQ13" i="3"/>
  <c r="BR14" i="3"/>
  <c r="BJ15" i="3"/>
  <c r="BR8" i="3"/>
  <c r="BL7" i="3"/>
  <c r="BO7" i="3"/>
  <c r="BJ10" i="3"/>
  <c r="BM13" i="3"/>
  <c r="BL11" i="3"/>
  <c r="BM14" i="3"/>
  <c r="BQ9" i="3"/>
  <c r="BN8" i="3"/>
  <c r="BK11" i="3"/>
  <c r="BP11" i="3"/>
  <c r="BL15" i="3"/>
  <c r="BP13" i="3"/>
  <c r="BO15" i="3"/>
  <c r="BN15" i="3"/>
  <c r="BM15" i="3"/>
  <c r="BQ15" i="3"/>
  <c r="BP15" i="3"/>
  <c r="BL14" i="3"/>
  <c r="BK14" i="3"/>
  <c r="BJ14" i="3"/>
  <c r="BR12" i="3"/>
  <c r="BQ12" i="3"/>
  <c r="BP12" i="3"/>
  <c r="BO14" i="3"/>
  <c r="BK13" i="3"/>
  <c r="BO11" i="3"/>
  <c r="BN11" i="3"/>
  <c r="BL17" i="3" l="1"/>
  <c r="AQ29" i="3"/>
  <c r="AS29" i="3" s="1"/>
  <c r="AQ33" i="3"/>
  <c r="AQ36" i="3"/>
  <c r="AQ32" i="3"/>
  <c r="AQ31" i="3"/>
  <c r="AQ30" i="3"/>
  <c r="AQ35" i="3"/>
  <c r="AQ34" i="3"/>
  <c r="AR34" i="3" l="1"/>
  <c r="AS34" i="3"/>
  <c r="AR35" i="3"/>
  <c r="AS35" i="3"/>
  <c r="AR30" i="3"/>
  <c r="AS30" i="3"/>
  <c r="AR31" i="3"/>
  <c r="AS31" i="3"/>
  <c r="AR36" i="3"/>
  <c r="AS36" i="3"/>
  <c r="AR33" i="3"/>
  <c r="AS33" i="3"/>
  <c r="AR32" i="3"/>
  <c r="AS32" i="3"/>
  <c r="K19" i="4"/>
  <c r="K17" i="4"/>
  <c r="K14" i="4"/>
  <c r="K13" i="4"/>
  <c r="K12" i="4"/>
  <c r="K9" i="4"/>
  <c r="K11" i="4"/>
  <c r="K6" i="4"/>
  <c r="AQ38" i="3"/>
  <c r="AR38" i="3" s="1"/>
  <c r="P6" i="4" s="1"/>
  <c r="AR29" i="3"/>
  <c r="Q15" i="4" l="1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</calcChain>
</file>

<file path=xl/sharedStrings.xml><?xml version="1.0" encoding="utf-8"?>
<sst xmlns="http://schemas.openxmlformats.org/spreadsheetml/2006/main" count="8855" uniqueCount="188">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</sst>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2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7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Continuous"/>
    </xf>
    <xf numFmtId="0" fontId="3" fillId="5" borderId="0" xfId="0" applyFont="1" applyFill="1" applyBorder="1" applyAlignment="1">
      <alignment horizontal="centerContinuous"/>
    </xf>
    <xf numFmtId="0" fontId="6" fillId="5" borderId="0" xfId="1" applyFont="1" applyFill="1" applyBorder="1" applyAlignment="1" applyProtection="1">
      <alignment horizontal="centerContinuous"/>
      <protection locked="0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26" fillId="5" borderId="0" xfId="0" applyFont="1" applyFill="1"/>
  </cellXfs>
  <cellStyles count="2">
    <cellStyle name="Hiperlink" xfId="1" builtinId="8"/>
    <cellStyle name="Normal" xfId="0" builtinId="0"/>
  </cellStyles>
  <dxfs count="89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B2:D50" totalsRowShown="0" headerRowDxfId="88" dataDxfId="87">
  <autoFilter ref="B2:D50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6"/>
    <tableColumn id="2" xr3:uid="{8927B163-5C71-4390-8413-1CB7AFCDC479}" name="Times" dataDxfId="85"/>
    <tableColumn id="3" xr3:uid="{95E8A229-CD3E-4FE0-BC0B-3E68BBDC2143}" name="  " dataDxfId="84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2:G50"/>
  <sheetViews>
    <sheetView showGridLines="0" showRowColHeaders="0" workbookViewId="0">
      <selection activeCell="C3" sqref="C3"/>
    </sheetView>
  </sheetViews>
  <sheetFormatPr defaultRowHeight="12.75" x14ac:dyDescent="0.25"/>
  <cols>
    <col min="1" max="1" width="9.140625" style="14"/>
    <col min="2" max="2" width="5.7109375" style="14" customWidth="1"/>
    <col min="3" max="3" width="20.7109375" style="14" customWidth="1"/>
    <col min="4" max="4" width="12.7109375" style="14" customWidth="1"/>
    <col min="5" max="5" width="9.140625" style="14"/>
    <col min="6" max="7" width="0" style="14" hidden="1" customWidth="1"/>
    <col min="8" max="16384" width="9.140625" style="14"/>
  </cols>
  <sheetData>
    <row r="2" spans="2:7" x14ac:dyDescent="0.25">
      <c r="B2" s="15" t="s">
        <v>4</v>
      </c>
      <c r="C2" s="15" t="s">
        <v>0</v>
      </c>
      <c r="D2" s="15" t="s">
        <v>5</v>
      </c>
      <c r="F2" s="14" t="s">
        <v>90</v>
      </c>
      <c r="G2" s="14" t="s">
        <v>91</v>
      </c>
    </row>
    <row r="3" spans="2:7" x14ac:dyDescent="0.25">
      <c r="B3" s="15">
        <v>1</v>
      </c>
      <c r="C3" s="16" t="s">
        <v>1</v>
      </c>
      <c r="D3" s="15" t="s">
        <v>6</v>
      </c>
      <c r="F3" s="14">
        <v>48</v>
      </c>
      <c r="G3" s="14">
        <f>COUNTBLANK(Tabela1[Times])</f>
        <v>0</v>
      </c>
    </row>
    <row r="4" spans="2:7" x14ac:dyDescent="0.25">
      <c r="B4" s="15">
        <v>2</v>
      </c>
      <c r="C4" s="16" t="s">
        <v>2</v>
      </c>
      <c r="D4" s="15" t="s">
        <v>6</v>
      </c>
    </row>
    <row r="5" spans="2:7" x14ac:dyDescent="0.25">
      <c r="B5" s="15">
        <v>3</v>
      </c>
      <c r="C5" s="16" t="s">
        <v>3</v>
      </c>
      <c r="D5" s="15" t="s">
        <v>6</v>
      </c>
    </row>
    <row r="6" spans="2:7" x14ac:dyDescent="0.25">
      <c r="B6" s="15">
        <v>4</v>
      </c>
      <c r="C6" s="16" t="s">
        <v>86</v>
      </c>
      <c r="D6" s="15" t="s">
        <v>7</v>
      </c>
    </row>
    <row r="7" spans="2:7" x14ac:dyDescent="0.25">
      <c r="B7" s="15">
        <v>5</v>
      </c>
      <c r="C7" s="16" t="s">
        <v>89</v>
      </c>
      <c r="D7" s="15" t="s">
        <v>7</v>
      </c>
    </row>
    <row r="8" spans="2:7" x14ac:dyDescent="0.25">
      <c r="B8" s="15">
        <v>6</v>
      </c>
      <c r="C8" s="16" t="s">
        <v>93</v>
      </c>
      <c r="D8" s="15" t="s">
        <v>7</v>
      </c>
    </row>
    <row r="9" spans="2:7" x14ac:dyDescent="0.25">
      <c r="B9" s="15">
        <v>7</v>
      </c>
      <c r="C9" s="16" t="s">
        <v>94</v>
      </c>
      <c r="D9" s="15" t="s">
        <v>7</v>
      </c>
    </row>
    <row r="10" spans="2:7" x14ac:dyDescent="0.25">
      <c r="B10" s="15">
        <v>8</v>
      </c>
      <c r="C10" s="16" t="s">
        <v>95</v>
      </c>
      <c r="D10" s="15" t="s">
        <v>7</v>
      </c>
    </row>
    <row r="11" spans="2:7" x14ac:dyDescent="0.25">
      <c r="B11" s="15">
        <v>9</v>
      </c>
      <c r="C11" s="16" t="s">
        <v>96</v>
      </c>
      <c r="D11" s="15" t="s">
        <v>7</v>
      </c>
    </row>
    <row r="12" spans="2:7" x14ac:dyDescent="0.25">
      <c r="B12" s="15">
        <v>10</v>
      </c>
      <c r="C12" s="16" t="s">
        <v>152</v>
      </c>
      <c r="D12" s="15" t="s">
        <v>7</v>
      </c>
    </row>
    <row r="13" spans="2:7" x14ac:dyDescent="0.25">
      <c r="B13" s="15">
        <v>11</v>
      </c>
      <c r="C13" s="16" t="s">
        <v>154</v>
      </c>
      <c r="D13" s="15" t="s">
        <v>7</v>
      </c>
    </row>
    <row r="14" spans="2:7" x14ac:dyDescent="0.25">
      <c r="B14" s="15">
        <v>12</v>
      </c>
      <c r="C14" s="16" t="s">
        <v>146</v>
      </c>
      <c r="D14" s="15" t="s">
        <v>8</v>
      </c>
    </row>
    <row r="15" spans="2:7" x14ac:dyDescent="0.25">
      <c r="B15" s="15">
        <v>13</v>
      </c>
      <c r="C15" s="16" t="s">
        <v>147</v>
      </c>
      <c r="D15" s="15" t="s">
        <v>8</v>
      </c>
    </row>
    <row r="16" spans="2:7" x14ac:dyDescent="0.25">
      <c r="B16" s="15">
        <v>14</v>
      </c>
      <c r="C16" s="16" t="s">
        <v>148</v>
      </c>
      <c r="D16" s="15" t="s">
        <v>8</v>
      </c>
    </row>
    <row r="17" spans="2:4" x14ac:dyDescent="0.25">
      <c r="B17" s="15">
        <v>15</v>
      </c>
      <c r="C17" s="16" t="s">
        <v>182</v>
      </c>
      <c r="D17" s="15" t="s">
        <v>8</v>
      </c>
    </row>
    <row r="18" spans="2:4" x14ac:dyDescent="0.25">
      <c r="B18" s="15">
        <v>16</v>
      </c>
      <c r="C18" s="16" t="s">
        <v>149</v>
      </c>
      <c r="D18" s="15" t="s">
        <v>8</v>
      </c>
    </row>
    <row r="19" spans="2:4" x14ac:dyDescent="0.25">
      <c r="B19" s="15">
        <v>17</v>
      </c>
      <c r="C19" s="16" t="s">
        <v>150</v>
      </c>
      <c r="D19" s="15" t="s">
        <v>8</v>
      </c>
    </row>
    <row r="20" spans="2:4" x14ac:dyDescent="0.25">
      <c r="B20" s="15">
        <v>18</v>
      </c>
      <c r="C20" s="16" t="s">
        <v>151</v>
      </c>
      <c r="D20" s="15" t="s">
        <v>8</v>
      </c>
    </row>
    <row r="21" spans="2:4" x14ac:dyDescent="0.25">
      <c r="B21" s="15">
        <v>19</v>
      </c>
      <c r="C21" s="16" t="s">
        <v>155</v>
      </c>
      <c r="D21" s="15" t="s">
        <v>8</v>
      </c>
    </row>
    <row r="22" spans="2:4" x14ac:dyDescent="0.25">
      <c r="B22" s="15">
        <v>20</v>
      </c>
      <c r="C22" s="16" t="s">
        <v>156</v>
      </c>
      <c r="D22" s="15" t="s">
        <v>8</v>
      </c>
    </row>
    <row r="23" spans="2:4" x14ac:dyDescent="0.25">
      <c r="B23" s="15">
        <v>21</v>
      </c>
      <c r="C23" s="16" t="s">
        <v>167</v>
      </c>
      <c r="D23" s="15" t="s">
        <v>9</v>
      </c>
    </row>
    <row r="24" spans="2:4" x14ac:dyDescent="0.25">
      <c r="B24" s="15">
        <v>22</v>
      </c>
      <c r="C24" s="16" t="s">
        <v>168</v>
      </c>
      <c r="D24" s="15" t="s">
        <v>9</v>
      </c>
    </row>
    <row r="25" spans="2:4" x14ac:dyDescent="0.25">
      <c r="B25" s="15">
        <v>23</v>
      </c>
      <c r="C25" s="16" t="s">
        <v>169</v>
      </c>
      <c r="D25" s="15" t="s">
        <v>9</v>
      </c>
    </row>
    <row r="26" spans="2:4" x14ac:dyDescent="0.25">
      <c r="B26" s="15">
        <v>24</v>
      </c>
      <c r="C26" s="16" t="s">
        <v>88</v>
      </c>
      <c r="D26" s="15" t="s">
        <v>10</v>
      </c>
    </row>
    <row r="27" spans="2:4" x14ac:dyDescent="0.25">
      <c r="B27" s="15">
        <v>25</v>
      </c>
      <c r="C27" s="16" t="s">
        <v>97</v>
      </c>
      <c r="D27" s="15" t="s">
        <v>10</v>
      </c>
    </row>
    <row r="28" spans="2:4" x14ac:dyDescent="0.25">
      <c r="B28" s="15">
        <v>26</v>
      </c>
      <c r="C28" s="16" t="s">
        <v>98</v>
      </c>
      <c r="D28" s="15" t="s">
        <v>10</v>
      </c>
    </row>
    <row r="29" spans="2:4" x14ac:dyDescent="0.25">
      <c r="B29" s="15">
        <v>27</v>
      </c>
      <c r="C29" s="16" t="s">
        <v>143</v>
      </c>
      <c r="D29" s="15" t="s">
        <v>10</v>
      </c>
    </row>
    <row r="30" spans="2:4" x14ac:dyDescent="0.25">
      <c r="B30" s="15">
        <v>28</v>
      </c>
      <c r="C30" s="16" t="s">
        <v>144</v>
      </c>
      <c r="D30" s="15" t="s">
        <v>10</v>
      </c>
    </row>
    <row r="31" spans="2:4" x14ac:dyDescent="0.25">
      <c r="B31" s="15">
        <v>29</v>
      </c>
      <c r="C31" s="16" t="s">
        <v>145</v>
      </c>
      <c r="D31" s="15" t="s">
        <v>10</v>
      </c>
    </row>
    <row r="32" spans="2:4" x14ac:dyDescent="0.25">
      <c r="B32" s="15">
        <v>30</v>
      </c>
      <c r="C32" s="16" t="s">
        <v>87</v>
      </c>
      <c r="D32" s="15" t="s">
        <v>11</v>
      </c>
    </row>
    <row r="33" spans="2:4" x14ac:dyDescent="0.25">
      <c r="B33" s="15">
        <v>31</v>
      </c>
      <c r="C33" s="16" t="s">
        <v>153</v>
      </c>
      <c r="D33" s="15" t="s">
        <v>12</v>
      </c>
    </row>
    <row r="34" spans="2:4" x14ac:dyDescent="0.25">
      <c r="B34" s="15">
        <v>32</v>
      </c>
      <c r="C34" s="16" t="s">
        <v>157</v>
      </c>
      <c r="D34" s="15" t="s">
        <v>12</v>
      </c>
    </row>
    <row r="35" spans="2:4" x14ac:dyDescent="0.25">
      <c r="B35" s="15">
        <v>33</v>
      </c>
      <c r="C35" s="16" t="s">
        <v>158</v>
      </c>
      <c r="D35" s="15" t="s">
        <v>12</v>
      </c>
    </row>
    <row r="36" spans="2:4" x14ac:dyDescent="0.25">
      <c r="B36" s="15">
        <v>34</v>
      </c>
      <c r="C36" s="16" t="s">
        <v>159</v>
      </c>
      <c r="D36" s="15" t="s">
        <v>12</v>
      </c>
    </row>
    <row r="37" spans="2:4" x14ac:dyDescent="0.25">
      <c r="B37" s="15">
        <v>35</v>
      </c>
      <c r="C37" s="16" t="s">
        <v>160</v>
      </c>
      <c r="D37" s="15" t="s">
        <v>12</v>
      </c>
    </row>
    <row r="38" spans="2:4" x14ac:dyDescent="0.25">
      <c r="B38" s="15">
        <v>36</v>
      </c>
      <c r="C38" s="16" t="s">
        <v>161</v>
      </c>
      <c r="D38" s="15" t="s">
        <v>12</v>
      </c>
    </row>
    <row r="39" spans="2:4" x14ac:dyDescent="0.25">
      <c r="B39" s="15">
        <v>37</v>
      </c>
      <c r="C39" s="16" t="s">
        <v>187</v>
      </c>
      <c r="D39" s="15" t="s">
        <v>12</v>
      </c>
    </row>
    <row r="40" spans="2:4" x14ac:dyDescent="0.25">
      <c r="B40" s="15">
        <v>38</v>
      </c>
      <c r="C40" s="16" t="s">
        <v>162</v>
      </c>
      <c r="D40" s="15" t="s">
        <v>12</v>
      </c>
    </row>
    <row r="41" spans="2:4" x14ac:dyDescent="0.25">
      <c r="B41" s="15">
        <v>39</v>
      </c>
      <c r="C41" s="16" t="s">
        <v>163</v>
      </c>
      <c r="D41" s="15" t="s">
        <v>12</v>
      </c>
    </row>
    <row r="42" spans="2:4" x14ac:dyDescent="0.25">
      <c r="B42" s="15">
        <v>40</v>
      </c>
      <c r="C42" s="16" t="s">
        <v>164</v>
      </c>
      <c r="D42" s="15" t="s">
        <v>12</v>
      </c>
    </row>
    <row r="43" spans="2:4" x14ac:dyDescent="0.25">
      <c r="B43" s="15">
        <v>41</v>
      </c>
      <c r="C43" s="16" t="s">
        <v>165</v>
      </c>
      <c r="D43" s="15" t="s">
        <v>12</v>
      </c>
    </row>
    <row r="44" spans="2:4" x14ac:dyDescent="0.25">
      <c r="B44" s="15">
        <v>42</v>
      </c>
      <c r="C44" s="16" t="s">
        <v>166</v>
      </c>
      <c r="D44" s="15" t="s">
        <v>12</v>
      </c>
    </row>
    <row r="45" spans="2:4" x14ac:dyDescent="0.25">
      <c r="B45" s="15">
        <v>43</v>
      </c>
      <c r="C45" s="16" t="s">
        <v>172</v>
      </c>
      <c r="D45" s="15" t="s">
        <v>12</v>
      </c>
    </row>
    <row r="46" spans="2:4" x14ac:dyDescent="0.25">
      <c r="B46" s="15">
        <v>44</v>
      </c>
      <c r="C46" s="16" t="s">
        <v>170</v>
      </c>
      <c r="D46" s="15" t="s">
        <v>12</v>
      </c>
    </row>
    <row r="47" spans="2:4" x14ac:dyDescent="0.25">
      <c r="B47" s="15">
        <v>45</v>
      </c>
      <c r="C47" s="16" t="s">
        <v>171</v>
      </c>
      <c r="D47" s="15" t="s">
        <v>12</v>
      </c>
    </row>
    <row r="48" spans="2:4" x14ac:dyDescent="0.25">
      <c r="B48" s="15">
        <v>46</v>
      </c>
      <c r="C48" s="16" t="s">
        <v>175</v>
      </c>
      <c r="D48" s="15" t="s">
        <v>12</v>
      </c>
    </row>
    <row r="49" spans="2:4" x14ac:dyDescent="0.25">
      <c r="B49" s="15">
        <v>47</v>
      </c>
      <c r="C49" s="16" t="s">
        <v>173</v>
      </c>
      <c r="D49" s="15" t="s">
        <v>13</v>
      </c>
    </row>
    <row r="50" spans="2:4" x14ac:dyDescent="0.25">
      <c r="B50" s="15">
        <v>48</v>
      </c>
      <c r="C50" s="16" t="s">
        <v>174</v>
      </c>
      <c r="D50" s="15" t="s">
        <v>13</v>
      </c>
    </row>
  </sheetData>
  <sheetProtection algorithmName="SHA-512" hashValue="lwGxxFW9i7ynnqZnGie1yQk9RddE3TurUJOiEwjfVGxTY6K+4WGGt9ug+goDv9Zf3Z72SWZ6msha3hElwZegfw==" saltValue="VuAu5tMcIl+2t4Kg495+Mw==" spinCount="100000" sheet="1" objects="1" scenarios="1" selectLockedCells="1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3:I33"/>
  <sheetViews>
    <sheetView showGridLines="0" showRowColHeaders="0" workbookViewId="0">
      <selection activeCell="C6" sqref="C6"/>
    </sheetView>
  </sheetViews>
  <sheetFormatPr defaultRowHeight="15" x14ac:dyDescent="0.25"/>
  <cols>
    <col min="1" max="1" width="9.140625" style="17"/>
    <col min="2" max="2" width="2.7109375" style="17" customWidth="1"/>
    <col min="3" max="3" width="20.7109375" style="17" customWidth="1"/>
    <col min="4" max="4" width="9.140625" style="17"/>
    <col min="5" max="5" width="2.7109375" style="17" customWidth="1"/>
    <col min="6" max="6" width="20.7109375" style="17" customWidth="1"/>
    <col min="7" max="7" width="9.140625" style="17"/>
    <col min="8" max="8" width="2.7109375" style="17" customWidth="1"/>
    <col min="9" max="9" width="20.7109375" style="17" customWidth="1"/>
    <col min="10" max="10" width="9.140625" style="17"/>
    <col min="11" max="11" width="2.7109375" style="17" customWidth="1"/>
    <col min="12" max="12" width="20.7109375" style="17" customWidth="1"/>
    <col min="13" max="16384" width="9.140625" style="17"/>
  </cols>
  <sheetData>
    <row r="3" spans="2:9" ht="15.75" thickBot="1" x14ac:dyDescent="0.3"/>
    <row r="4" spans="2:9" x14ac:dyDescent="0.25">
      <c r="B4" s="19" t="s">
        <v>23</v>
      </c>
      <c r="C4" s="20"/>
      <c r="E4" s="19" t="s">
        <v>49</v>
      </c>
      <c r="F4" s="20"/>
      <c r="H4" s="19" t="s">
        <v>52</v>
      </c>
      <c r="I4" s="20"/>
    </row>
    <row r="5" spans="2:9" x14ac:dyDescent="0.25">
      <c r="B5" s="21" t="s">
        <v>40</v>
      </c>
      <c r="C5" s="22" t="s">
        <v>17</v>
      </c>
      <c r="E5" s="21" t="s">
        <v>40</v>
      </c>
      <c r="F5" s="22" t="s">
        <v>17</v>
      </c>
      <c r="H5" s="21" t="s">
        <v>40</v>
      </c>
      <c r="I5" s="22" t="s">
        <v>17</v>
      </c>
    </row>
    <row r="6" spans="2:9" x14ac:dyDescent="0.25">
      <c r="B6" s="23">
        <v>1</v>
      </c>
      <c r="C6" s="25" t="s">
        <v>2</v>
      </c>
      <c r="E6" s="23">
        <v>1</v>
      </c>
      <c r="F6" s="25" t="s">
        <v>1</v>
      </c>
      <c r="H6" s="23">
        <v>1</v>
      </c>
      <c r="I6" s="25" t="s">
        <v>97</v>
      </c>
    </row>
    <row r="7" spans="2:9" x14ac:dyDescent="0.25">
      <c r="B7" s="23">
        <v>2</v>
      </c>
      <c r="C7" s="25" t="s">
        <v>177</v>
      </c>
      <c r="E7" s="23">
        <v>2</v>
      </c>
      <c r="F7" s="25" t="s">
        <v>176</v>
      </c>
      <c r="H7" s="23">
        <v>2</v>
      </c>
      <c r="I7" s="25" t="s">
        <v>146</v>
      </c>
    </row>
    <row r="8" spans="2:9" x14ac:dyDescent="0.25">
      <c r="B8" s="23">
        <v>3</v>
      </c>
      <c r="C8" s="25" t="s">
        <v>94</v>
      </c>
      <c r="E8" s="23">
        <v>3</v>
      </c>
      <c r="F8" s="25" t="s">
        <v>152</v>
      </c>
      <c r="H8" s="23">
        <v>3</v>
      </c>
      <c r="I8" s="25" t="s">
        <v>168</v>
      </c>
    </row>
    <row r="9" spans="2:9" ht="15.75" thickBot="1" x14ac:dyDescent="0.3">
      <c r="B9" s="24">
        <v>4</v>
      </c>
      <c r="C9" s="26" t="s">
        <v>175</v>
      </c>
      <c r="E9" s="24">
        <v>4</v>
      </c>
      <c r="F9" s="26" t="s">
        <v>164</v>
      </c>
      <c r="H9" s="24">
        <v>4</v>
      </c>
      <c r="I9" s="26" t="s">
        <v>166</v>
      </c>
    </row>
    <row r="11" spans="2:9" ht="15.75" thickBot="1" x14ac:dyDescent="0.3"/>
    <row r="12" spans="2:9" x14ac:dyDescent="0.25">
      <c r="B12" s="19" t="s">
        <v>55</v>
      </c>
      <c r="C12" s="20"/>
      <c r="E12" s="19" t="s">
        <v>57</v>
      </c>
      <c r="F12" s="20"/>
      <c r="H12" s="19" t="s">
        <v>59</v>
      </c>
      <c r="I12" s="20"/>
    </row>
    <row r="13" spans="2:9" x14ac:dyDescent="0.25">
      <c r="B13" s="21" t="s">
        <v>40</v>
      </c>
      <c r="C13" s="22" t="s">
        <v>17</v>
      </c>
      <c r="E13" s="21" t="s">
        <v>40</v>
      </c>
      <c r="F13" s="22" t="s">
        <v>17</v>
      </c>
      <c r="H13" s="21" t="s">
        <v>40</v>
      </c>
      <c r="I13" s="22" t="s">
        <v>17</v>
      </c>
    </row>
    <row r="14" spans="2:9" x14ac:dyDescent="0.25">
      <c r="B14" s="23">
        <v>1</v>
      </c>
      <c r="C14" s="25" t="s">
        <v>3</v>
      </c>
      <c r="E14" s="23">
        <v>1</v>
      </c>
      <c r="F14" s="25" t="s">
        <v>161</v>
      </c>
      <c r="H14" s="23">
        <v>1</v>
      </c>
      <c r="I14" s="25" t="s">
        <v>187</v>
      </c>
    </row>
    <row r="15" spans="2:9" x14ac:dyDescent="0.25">
      <c r="B15" s="23">
        <v>2</v>
      </c>
      <c r="C15" s="25" t="s">
        <v>145</v>
      </c>
      <c r="E15" s="23">
        <v>2</v>
      </c>
      <c r="F15" s="25" t="s">
        <v>178</v>
      </c>
      <c r="H15" s="23">
        <v>2</v>
      </c>
      <c r="I15" s="25" t="s">
        <v>86</v>
      </c>
    </row>
    <row r="16" spans="2:9" x14ac:dyDescent="0.25">
      <c r="B16" s="23">
        <v>3</v>
      </c>
      <c r="C16" s="25" t="s">
        <v>96</v>
      </c>
      <c r="E16" s="23">
        <v>3</v>
      </c>
      <c r="F16" s="25" t="s">
        <v>155</v>
      </c>
      <c r="H16" s="23">
        <v>3</v>
      </c>
      <c r="I16" s="25" t="s">
        <v>170</v>
      </c>
    </row>
    <row r="17" spans="2:9" ht="15.75" thickBot="1" x14ac:dyDescent="0.3">
      <c r="B17" s="24">
        <v>4</v>
      </c>
      <c r="C17" s="26" t="s">
        <v>171</v>
      </c>
      <c r="E17" s="24">
        <v>4</v>
      </c>
      <c r="F17" s="26" t="s">
        <v>98</v>
      </c>
      <c r="H17" s="24">
        <v>4</v>
      </c>
      <c r="I17" s="26" t="s">
        <v>179</v>
      </c>
    </row>
    <row r="19" spans="2:9" ht="15.75" thickBot="1" x14ac:dyDescent="0.3"/>
    <row r="20" spans="2:9" x14ac:dyDescent="0.25">
      <c r="B20" s="19" t="s">
        <v>61</v>
      </c>
      <c r="C20" s="20"/>
      <c r="E20" s="19" t="s">
        <v>63</v>
      </c>
      <c r="F20" s="20"/>
      <c r="H20" s="19" t="s">
        <v>64</v>
      </c>
      <c r="I20" s="20"/>
    </row>
    <row r="21" spans="2:9" x14ac:dyDescent="0.25">
      <c r="B21" s="21" t="s">
        <v>40</v>
      </c>
      <c r="C21" s="22" t="s">
        <v>17</v>
      </c>
      <c r="E21" s="21" t="s">
        <v>40</v>
      </c>
      <c r="F21" s="22" t="s">
        <v>17</v>
      </c>
      <c r="H21" s="21" t="s">
        <v>40</v>
      </c>
      <c r="I21" s="22" t="s">
        <v>17</v>
      </c>
    </row>
    <row r="22" spans="2:9" x14ac:dyDescent="0.25">
      <c r="B22" s="23">
        <v>1</v>
      </c>
      <c r="C22" s="25" t="s">
        <v>162</v>
      </c>
      <c r="E22" s="23">
        <v>1</v>
      </c>
      <c r="F22" s="25" t="s">
        <v>165</v>
      </c>
      <c r="H22" s="23">
        <v>1</v>
      </c>
      <c r="I22" s="25" t="s">
        <v>157</v>
      </c>
    </row>
    <row r="23" spans="2:9" x14ac:dyDescent="0.25">
      <c r="B23" s="23">
        <v>2</v>
      </c>
      <c r="C23" s="25" t="s">
        <v>148</v>
      </c>
      <c r="E23" s="23">
        <v>2</v>
      </c>
      <c r="F23" s="25" t="s">
        <v>150</v>
      </c>
      <c r="H23" s="23">
        <v>2</v>
      </c>
      <c r="I23" s="25" t="s">
        <v>156</v>
      </c>
    </row>
    <row r="24" spans="2:9" x14ac:dyDescent="0.25">
      <c r="B24" s="23">
        <v>3</v>
      </c>
      <c r="C24" s="25" t="s">
        <v>89</v>
      </c>
      <c r="E24" s="23">
        <v>3</v>
      </c>
      <c r="F24" s="25" t="s">
        <v>181</v>
      </c>
      <c r="H24" s="23">
        <v>3</v>
      </c>
      <c r="I24" s="25" t="s">
        <v>174</v>
      </c>
    </row>
    <row r="25" spans="2:9" ht="15.75" thickBot="1" x14ac:dyDescent="0.3">
      <c r="B25" s="24">
        <v>4</v>
      </c>
      <c r="C25" s="26" t="s">
        <v>180</v>
      </c>
      <c r="E25" s="24">
        <v>4</v>
      </c>
      <c r="F25" s="26" t="s">
        <v>143</v>
      </c>
      <c r="H25" s="24">
        <v>4</v>
      </c>
      <c r="I25" s="26" t="s">
        <v>160</v>
      </c>
    </row>
    <row r="27" spans="2:9" ht="15.75" thickBot="1" x14ac:dyDescent="0.3"/>
    <row r="28" spans="2:9" x14ac:dyDescent="0.25">
      <c r="B28" s="19" t="s">
        <v>65</v>
      </c>
      <c r="C28" s="20"/>
      <c r="E28" s="19" t="s">
        <v>66</v>
      </c>
      <c r="F28" s="20"/>
      <c r="H28" s="19" t="s">
        <v>67</v>
      </c>
      <c r="I28" s="20"/>
    </row>
    <row r="29" spans="2:9" x14ac:dyDescent="0.25">
      <c r="B29" s="21" t="s">
        <v>40</v>
      </c>
      <c r="C29" s="22" t="s">
        <v>17</v>
      </c>
      <c r="E29" s="21" t="s">
        <v>40</v>
      </c>
      <c r="F29" s="22" t="s">
        <v>17</v>
      </c>
      <c r="H29" s="21" t="s">
        <v>40</v>
      </c>
      <c r="I29" s="22" t="s">
        <v>17</v>
      </c>
    </row>
    <row r="30" spans="2:9" x14ac:dyDescent="0.25">
      <c r="B30" s="23">
        <v>1</v>
      </c>
      <c r="C30" s="25" t="s">
        <v>88</v>
      </c>
      <c r="E30" s="23">
        <v>1</v>
      </c>
      <c r="F30" s="25" t="s">
        <v>159</v>
      </c>
      <c r="H30" s="23">
        <v>1</v>
      </c>
      <c r="I30" s="25" t="s">
        <v>153</v>
      </c>
    </row>
    <row r="31" spans="2:9" x14ac:dyDescent="0.25">
      <c r="B31" s="23">
        <v>2</v>
      </c>
      <c r="C31" s="25" t="s">
        <v>182</v>
      </c>
      <c r="E31" s="23">
        <v>2</v>
      </c>
      <c r="F31" s="25" t="s">
        <v>184</v>
      </c>
      <c r="H31" s="23">
        <v>2</v>
      </c>
      <c r="I31" s="25" t="s">
        <v>185</v>
      </c>
    </row>
    <row r="32" spans="2:9" x14ac:dyDescent="0.25">
      <c r="B32" s="23">
        <v>3</v>
      </c>
      <c r="C32" s="25" t="s">
        <v>183</v>
      </c>
      <c r="E32" s="23">
        <v>3</v>
      </c>
      <c r="F32" s="25" t="s">
        <v>93</v>
      </c>
      <c r="H32" s="23">
        <v>3</v>
      </c>
      <c r="I32" s="25" t="s">
        <v>149</v>
      </c>
    </row>
    <row r="33" spans="2:9" ht="15.75" thickBot="1" x14ac:dyDescent="0.3">
      <c r="B33" s="24">
        <v>4</v>
      </c>
      <c r="C33" s="26" t="s">
        <v>95</v>
      </c>
      <c r="E33" s="24">
        <v>4</v>
      </c>
      <c r="F33" s="26" t="s">
        <v>144</v>
      </c>
      <c r="H33" s="24">
        <v>4</v>
      </c>
      <c r="I33" s="26" t="s">
        <v>186</v>
      </c>
    </row>
  </sheetData>
  <sheetProtection algorithmName="SHA-512" hashValue="VLbSmpfYBbFi3+iG38TNWlyek7bRnkdTdYMxjHSk5q1hLa43FVZsLVx3H6wVMdleqLq8ydLh8K3q8tR67HArdw==" saltValue="yMkNlJdP8NH0xo/snpU0A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4"/>
  <sheetViews>
    <sheetView showGridLines="0" showRowColHeaders="0" tabSelected="1" workbookViewId="0">
      <selection activeCell="F3" sqref="F3"/>
    </sheetView>
  </sheetViews>
  <sheetFormatPr defaultRowHeight="15" x14ac:dyDescent="0.25"/>
  <cols>
    <col min="1" max="1" width="9.140625" style="17"/>
    <col min="2" max="2" width="4.28515625" style="109" bestFit="1" customWidth="1"/>
    <col min="3" max="3" width="8.7109375" style="17" customWidth="1"/>
    <col min="4" max="4" width="7.7109375" style="17" hidden="1" customWidth="1"/>
    <col min="5" max="5" width="20.7109375" style="17" customWidth="1"/>
    <col min="6" max="6" width="3.7109375" style="17" customWidth="1"/>
    <col min="7" max="7" width="1.7109375" style="17" customWidth="1"/>
    <col min="8" max="8" width="3.7109375" style="17" customWidth="1"/>
    <col min="9" max="9" width="20.7109375" style="17" customWidth="1"/>
    <col min="10" max="13" width="0" style="17" hidden="1" customWidth="1"/>
    <col min="14" max="14" width="9.140625" style="17"/>
    <col min="15" max="15" width="3.140625" style="17" hidden="1" customWidth="1"/>
    <col min="16" max="16" width="15.42578125" style="17" hidden="1" customWidth="1"/>
    <col min="17" max="17" width="7.42578125" style="17" hidden="1" customWidth="1"/>
    <col min="18" max="18" width="6.28515625" style="17" hidden="1" customWidth="1"/>
    <col min="19" max="19" width="3.5703125" style="17" hidden="1" customWidth="1"/>
    <col min="20" max="20" width="4.85546875" style="17" hidden="1" customWidth="1"/>
    <col min="21" max="21" width="4.140625" style="17" hidden="1" customWidth="1"/>
    <col min="22" max="22" width="3.42578125" style="17" hidden="1" customWidth="1"/>
    <col min="23" max="24" width="3.5703125" style="17" hidden="1" customWidth="1"/>
    <col min="25" max="25" width="4.5703125" style="17" hidden="1" customWidth="1"/>
    <col min="26" max="26" width="4.7109375" style="17" hidden="1" customWidth="1"/>
    <col min="27" max="27" width="5.7109375" style="17" hidden="1" customWidth="1"/>
    <col min="28" max="29" width="3.85546875" style="17" hidden="1" customWidth="1"/>
    <col min="30" max="30" width="3" style="17" hidden="1" customWidth="1"/>
    <col min="31" max="31" width="2.7109375" style="17" customWidth="1"/>
    <col min="32" max="32" width="20.7109375" style="17" customWidth="1"/>
    <col min="33" max="40" width="3.7109375" style="17" customWidth="1"/>
    <col min="41" max="41" width="9.140625" style="17"/>
    <col min="42" max="42" width="3.28515625" style="17" hidden="1" customWidth="1"/>
    <col min="43" max="43" width="10.42578125" style="17" hidden="1" customWidth="1"/>
    <col min="44" max="44" width="18.7109375" style="17" hidden="1" customWidth="1"/>
    <col min="45" max="45" width="6.28515625" style="17" hidden="1" customWidth="1"/>
    <col min="46" max="46" width="3.5703125" style="17" hidden="1" customWidth="1"/>
    <col min="47" max="47" width="4.85546875" style="17" hidden="1" customWidth="1"/>
    <col min="48" max="48" width="4.140625" style="17" hidden="1" customWidth="1"/>
    <col min="49" max="49" width="3.42578125" style="17" hidden="1" customWidth="1"/>
    <col min="50" max="51" width="3.5703125" style="17" hidden="1" customWidth="1"/>
    <col min="52" max="52" width="2.28515625" style="17" hidden="1" customWidth="1"/>
    <col min="53" max="53" width="3.42578125" style="17" hidden="1" customWidth="1"/>
    <col min="54" max="54" width="4.5703125" style="17" hidden="1" customWidth="1"/>
    <col min="55" max="55" width="4.7109375" style="17" hidden="1" customWidth="1"/>
    <col min="56" max="56" width="5.7109375" style="17" hidden="1" customWidth="1"/>
    <col min="57" max="58" width="3.85546875" style="17" hidden="1" customWidth="1"/>
    <col min="59" max="59" width="2.42578125" style="17" hidden="1" customWidth="1"/>
    <col min="60" max="60" width="3.28515625" style="17" hidden="1" customWidth="1"/>
    <col min="61" max="61" width="3.7109375" style="17" customWidth="1"/>
    <col min="62" max="62" width="20.7109375" style="17" customWidth="1"/>
    <col min="63" max="70" width="3.7109375" style="17" customWidth="1"/>
    <col min="71" max="16384" width="9.140625" style="17"/>
  </cols>
  <sheetData>
    <row r="1" spans="1:70" ht="24" thickBot="1" x14ac:dyDescent="0.4">
      <c r="A1" s="27"/>
      <c r="B1" s="28" t="s">
        <v>68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</row>
    <row r="2" spans="1:70" ht="15.75" thickBot="1" x14ac:dyDescent="0.3">
      <c r="A2" s="31"/>
      <c r="B2" s="93" t="s">
        <v>14</v>
      </c>
      <c r="C2" s="94" t="s">
        <v>15</v>
      </c>
      <c r="D2" s="95" t="s">
        <v>16</v>
      </c>
      <c r="E2" s="95" t="s">
        <v>17</v>
      </c>
      <c r="F2" s="157" t="s">
        <v>18</v>
      </c>
      <c r="G2" s="157"/>
      <c r="H2" s="157"/>
      <c r="I2" s="95" t="s">
        <v>17</v>
      </c>
      <c r="J2" s="32"/>
      <c r="K2" s="32"/>
      <c r="L2" s="32"/>
      <c r="M2" s="33"/>
      <c r="N2" s="34"/>
      <c r="O2" s="35"/>
      <c r="P2" s="36" t="s">
        <v>19</v>
      </c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8"/>
      <c r="AE2" s="79" t="s">
        <v>19</v>
      </c>
      <c r="AF2" s="80"/>
      <c r="AG2" s="80"/>
      <c r="AH2" s="80"/>
      <c r="AI2" s="80"/>
      <c r="AJ2" s="80"/>
      <c r="AK2" s="80"/>
      <c r="AL2" s="80"/>
      <c r="AM2" s="80"/>
      <c r="AN2" s="81"/>
    </row>
    <row r="3" spans="1:70" x14ac:dyDescent="0.25">
      <c r="A3" s="39"/>
      <c r="B3" s="104" t="s">
        <v>20</v>
      </c>
      <c r="C3" s="99">
        <v>46184</v>
      </c>
      <c r="D3" s="40" t="s">
        <v>21</v>
      </c>
      <c r="E3" s="110" t="str">
        <f>P5</f>
        <v>México</v>
      </c>
      <c r="F3" s="127"/>
      <c r="G3" s="88" t="s">
        <v>22</v>
      </c>
      <c r="H3" s="127"/>
      <c r="I3" s="111" t="str">
        <f>P6</f>
        <v>África do Sul</v>
      </c>
      <c r="J3" s="42" t="str">
        <f t="shared" ref="J3:J34" si="0">IF(F3=H3,"empate",IF(F3&gt;H3,E3,I3))</f>
        <v>empate</v>
      </c>
      <c r="K3" s="42" t="str">
        <f t="shared" ref="K3:K34" si="1">IF(F3="","",IF(H3="","",IF(J3="empate",E3,"")))</f>
        <v/>
      </c>
      <c r="L3" s="42" t="str">
        <f t="shared" ref="L3:L34" si="2">IF(E3="","",IF(F3="","",IF(M3="empate",I3,"")))</f>
        <v/>
      </c>
      <c r="M3" s="43" t="str">
        <f t="shared" ref="M3:M34" si="3">IF(F3=H3,"empate",IF(F3&lt;H3,E3,I3))</f>
        <v>empate</v>
      </c>
      <c r="N3" s="44"/>
      <c r="O3" s="45"/>
      <c r="P3" s="46" t="s">
        <v>23</v>
      </c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8"/>
      <c r="AE3" s="82" t="s">
        <v>23</v>
      </c>
      <c r="AF3" s="83"/>
      <c r="AG3" s="83"/>
      <c r="AH3" s="83"/>
      <c r="AI3" s="83"/>
      <c r="AJ3" s="83"/>
      <c r="AK3" s="83"/>
      <c r="AL3" s="83"/>
      <c r="AM3" s="83"/>
      <c r="AN3" s="84"/>
      <c r="BI3" s="96" t="s">
        <v>92</v>
      </c>
      <c r="BJ3" s="97"/>
      <c r="BK3" s="97"/>
      <c r="BL3" s="97"/>
      <c r="BM3" s="97"/>
      <c r="BN3" s="97"/>
      <c r="BO3" s="97"/>
      <c r="BP3" s="97"/>
      <c r="BQ3" s="97"/>
      <c r="BR3" s="98"/>
    </row>
    <row r="4" spans="1:70" x14ac:dyDescent="0.25">
      <c r="A4" s="49"/>
      <c r="B4" s="104" t="s">
        <v>20</v>
      </c>
      <c r="C4" s="99">
        <v>46184</v>
      </c>
      <c r="D4" s="40" t="s">
        <v>24</v>
      </c>
      <c r="E4" s="110" t="str">
        <f>P7</f>
        <v>Coreia do Sul</v>
      </c>
      <c r="F4" s="127"/>
      <c r="G4" s="88" t="s">
        <v>22</v>
      </c>
      <c r="H4" s="127"/>
      <c r="I4" s="111" t="str">
        <f>P8</f>
        <v>República Tcheca</v>
      </c>
      <c r="J4" s="42" t="str">
        <f t="shared" si="0"/>
        <v>empate</v>
      </c>
      <c r="K4" s="42" t="str">
        <f t="shared" si="1"/>
        <v/>
      </c>
      <c r="L4" s="42" t="str">
        <f t="shared" si="2"/>
        <v/>
      </c>
      <c r="M4" s="43" t="str">
        <f t="shared" si="3"/>
        <v>empate</v>
      </c>
      <c r="N4" s="50"/>
      <c r="O4" s="51" t="s">
        <v>25</v>
      </c>
      <c r="P4" s="18" t="s">
        <v>26</v>
      </c>
      <c r="Q4" s="42" t="s">
        <v>27</v>
      </c>
      <c r="R4" s="42" t="s">
        <v>28</v>
      </c>
      <c r="S4" s="42" t="s">
        <v>29</v>
      </c>
      <c r="T4" s="42" t="s">
        <v>30</v>
      </c>
      <c r="U4" s="42" t="s">
        <v>31</v>
      </c>
      <c r="V4" s="42" t="s">
        <v>32</v>
      </c>
      <c r="W4" s="42" t="s">
        <v>33</v>
      </c>
      <c r="X4" s="42" t="s">
        <v>34</v>
      </c>
      <c r="Y4" s="42" t="s">
        <v>35</v>
      </c>
      <c r="Z4" s="42" t="s">
        <v>36</v>
      </c>
      <c r="AA4" s="42" t="s">
        <v>37</v>
      </c>
      <c r="AB4" s="42" t="s">
        <v>38</v>
      </c>
      <c r="AC4" s="43" t="s">
        <v>39</v>
      </c>
      <c r="AD4" s="49"/>
      <c r="AE4" s="23" t="s">
        <v>40</v>
      </c>
      <c r="AF4" s="85" t="s">
        <v>17</v>
      </c>
      <c r="AG4" s="85" t="s">
        <v>41</v>
      </c>
      <c r="AH4" s="85" t="s">
        <v>42</v>
      </c>
      <c r="AI4" s="85" t="s">
        <v>43</v>
      </c>
      <c r="AJ4" s="85" t="s">
        <v>44</v>
      </c>
      <c r="AK4" s="85" t="s">
        <v>45</v>
      </c>
      <c r="AL4" s="85" t="s">
        <v>32</v>
      </c>
      <c r="AM4" s="85" t="s">
        <v>33</v>
      </c>
      <c r="AN4" s="86" t="s">
        <v>34</v>
      </c>
      <c r="AP4" s="52" t="s">
        <v>25</v>
      </c>
      <c r="AQ4" s="41" t="s">
        <v>17</v>
      </c>
      <c r="AR4" s="42" t="s">
        <v>27</v>
      </c>
      <c r="AS4" s="42" t="s">
        <v>28</v>
      </c>
      <c r="AT4" s="42" t="s">
        <v>29</v>
      </c>
      <c r="AU4" s="42" t="s">
        <v>30</v>
      </c>
      <c r="AV4" s="42" t="s">
        <v>31</v>
      </c>
      <c r="AW4" s="42" t="s">
        <v>32</v>
      </c>
      <c r="AX4" s="42" t="s">
        <v>33</v>
      </c>
      <c r="AY4" s="42" t="s">
        <v>34</v>
      </c>
      <c r="AZ4" s="42"/>
      <c r="BA4" s="42"/>
      <c r="BB4" s="42" t="s">
        <v>35</v>
      </c>
      <c r="BC4" s="42" t="s">
        <v>36</v>
      </c>
      <c r="BD4" s="42" t="s">
        <v>37</v>
      </c>
      <c r="BE4" s="42" t="s">
        <v>38</v>
      </c>
      <c r="BF4" s="43" t="s">
        <v>39</v>
      </c>
      <c r="BG4" s="49"/>
      <c r="BI4" s="23" t="s">
        <v>40</v>
      </c>
      <c r="BJ4" s="85" t="s">
        <v>17</v>
      </c>
      <c r="BK4" s="85" t="s">
        <v>41</v>
      </c>
      <c r="BL4" s="85" t="s">
        <v>42</v>
      </c>
      <c r="BM4" s="85" t="s">
        <v>43</v>
      </c>
      <c r="BN4" s="85" t="s">
        <v>44</v>
      </c>
      <c r="BO4" s="85" t="s">
        <v>45</v>
      </c>
      <c r="BP4" s="85" t="s">
        <v>32</v>
      </c>
      <c r="BQ4" s="85" t="s">
        <v>33</v>
      </c>
      <c r="BR4" s="86" t="s">
        <v>34</v>
      </c>
    </row>
    <row r="5" spans="1:70" x14ac:dyDescent="0.25">
      <c r="A5" s="49"/>
      <c r="B5" s="104" t="s">
        <v>20</v>
      </c>
      <c r="C5" s="99">
        <v>46191</v>
      </c>
      <c r="D5" s="40" t="s">
        <v>46</v>
      </c>
      <c r="E5" s="110" t="str">
        <f>P5</f>
        <v>México</v>
      </c>
      <c r="F5" s="127"/>
      <c r="G5" s="88" t="s">
        <v>22</v>
      </c>
      <c r="H5" s="127"/>
      <c r="I5" s="111" t="str">
        <f>P7</f>
        <v>Coreia do Sul</v>
      </c>
      <c r="J5" s="42" t="str">
        <f t="shared" si="0"/>
        <v>empate</v>
      </c>
      <c r="K5" s="42" t="str">
        <f t="shared" si="1"/>
        <v/>
      </c>
      <c r="L5" s="42" t="str">
        <f t="shared" si="2"/>
        <v/>
      </c>
      <c r="M5" s="43" t="str">
        <f t="shared" si="3"/>
        <v>empate</v>
      </c>
      <c r="N5" s="50"/>
      <c r="O5" s="51">
        <f>RANK(Q5,$Q$5:$Q$8)+SUM(Y5:AB5)</f>
        <v>1</v>
      </c>
      <c r="P5" s="53" t="str">
        <f>Sorteios!C6</f>
        <v>México</v>
      </c>
      <c r="Q5" s="42">
        <f>(S5*3)+(T5*1)</f>
        <v>0</v>
      </c>
      <c r="R5" s="42">
        <f>SUM(S5:U5)</f>
        <v>0</v>
      </c>
      <c r="S5" s="42">
        <f>COUNTIF(J:J,P5)</f>
        <v>0</v>
      </c>
      <c r="T5" s="42">
        <f>COUNTIF(K:K,P5)+COUNTIF(L:L,P5)</f>
        <v>0</v>
      </c>
      <c r="U5" s="42">
        <f>COUNTIF(M:M,P5)</f>
        <v>0</v>
      </c>
      <c r="V5" s="42">
        <f>SUMIF(E:E,P5,F:F)+SUMIF(I:I,P5,H:H)</f>
        <v>0</v>
      </c>
      <c r="W5" s="42">
        <f>SUMIF(E:E,P5,H:H)+SUMIF(I:I,P5,F:F)</f>
        <v>0</v>
      </c>
      <c r="X5" s="42">
        <f>V5-W5</f>
        <v>0</v>
      </c>
      <c r="Y5" s="42">
        <f>SUMPRODUCT(($Q$5:$Q$8=Q5)*($X$5:$X$8&gt;X5))</f>
        <v>0</v>
      </c>
      <c r="Z5" s="42">
        <f>SUMPRODUCT(($Q$5:$Q$8=Q5)*($X$5:$X$8=X5)*($V$5:$V$8&gt;V5))</f>
        <v>0</v>
      </c>
      <c r="AA5" s="42">
        <f>SUMPRODUCT(($Q$5:$Q$8=Q5)*($X$5:$X$8=X5)*($V$5:$V$8=V5)*($W$5:$W$8&gt;W5))</f>
        <v>0</v>
      </c>
      <c r="AB5" s="42">
        <f>SUMPRODUCT(($Q$5:$Q$8=Q5)*($X$5:$X$8=X5)*($V$5:$V$8=V5)*($W$5:$W$8=W5)*($AC$5:$AC$8&lt;AC5))</f>
        <v>0</v>
      </c>
      <c r="AC5" s="43">
        <v>1</v>
      </c>
      <c r="AD5" s="49"/>
      <c r="AE5" s="23">
        <v>1</v>
      </c>
      <c r="AF5" s="87" t="str">
        <f>VLOOKUP($AE5,$O$5:$X$8,2,FALSE)</f>
        <v>México</v>
      </c>
      <c r="AG5" s="88">
        <f>VLOOKUP($AE5,$O$5:$X$8,3,FALSE)</f>
        <v>0</v>
      </c>
      <c r="AH5" s="88">
        <f>VLOOKUP($AE5,$O$5:$X$8,4,FALSE)</f>
        <v>0</v>
      </c>
      <c r="AI5" s="88">
        <f>VLOOKUP($AE5,$O$5:$X$8,5,FALSE)</f>
        <v>0</v>
      </c>
      <c r="AJ5" s="88">
        <f>VLOOKUP($AE5,$O$5:$X$8,6,FALSE)</f>
        <v>0</v>
      </c>
      <c r="AK5" s="88">
        <f>VLOOKUP($AE5,$O$5:$X$8,7,FALSE)</f>
        <v>0</v>
      </c>
      <c r="AL5" s="88">
        <f>VLOOKUP($AE5,$O$5:$X$8,8,FALSE)</f>
        <v>0</v>
      </c>
      <c r="AM5" s="88">
        <f>VLOOKUP($AE5,$O$5:$X$8,9,FALSE)</f>
        <v>0</v>
      </c>
      <c r="AN5" s="89">
        <f>VLOOKUP($AE5,$O$5:$X$8,10,FALSE)</f>
        <v>0</v>
      </c>
      <c r="AP5" s="52">
        <f t="shared" ref="AP5:AP16" si="4">RANK(AR5,$AR$5:$AR$16)+SUM(BB5:BE5)</f>
        <v>1</v>
      </c>
      <c r="AQ5" s="54" t="str">
        <f>AF7</f>
        <v>Coreia do Sul</v>
      </c>
      <c r="AR5" s="42">
        <f>(AT5*3)+(AU5*1)</f>
        <v>0</v>
      </c>
      <c r="AS5" s="42">
        <f>SUM(AT5:AV5)</f>
        <v>0</v>
      </c>
      <c r="AT5" s="42">
        <f t="shared" ref="AT5:AT16" si="5">VLOOKUP(AQ5,$P$4:$X$74,4,FALSE)</f>
        <v>0</v>
      </c>
      <c r="AU5" s="42">
        <f t="shared" ref="AU5:AU16" si="6">VLOOKUP(AQ5,$P$4:$X$74,5,FALSE)</f>
        <v>0</v>
      </c>
      <c r="AV5" s="42">
        <f t="shared" ref="AV5:AV16" si="7">VLOOKUP(AQ5,$P$4:$X$74,6,FALSE)</f>
        <v>0</v>
      </c>
      <c r="AW5" s="42">
        <f t="shared" ref="AW5:AW16" si="8">VLOOKUP(AQ5,$P$4:$X$74,7,FALSE)</f>
        <v>0</v>
      </c>
      <c r="AX5" s="42">
        <f t="shared" ref="AX5:AX16" si="9">VLOOKUP(AQ5,$P$4:$X$74,8,FALSE)</f>
        <v>0</v>
      </c>
      <c r="AY5" s="42">
        <f>AW5-AX5</f>
        <v>0</v>
      </c>
      <c r="AZ5" s="42" t="s">
        <v>20</v>
      </c>
      <c r="BA5" s="42" t="str">
        <f>AQ5</f>
        <v>Coreia do Sul</v>
      </c>
      <c r="BB5" s="42">
        <f t="shared" ref="BB5:BB16" si="10">SUMPRODUCT(($AR$5:$AR$16=AR5)*($AY$5:$AY$16&gt;AY5))</f>
        <v>0</v>
      </c>
      <c r="BC5" s="42">
        <f t="shared" ref="BC5:BC16" si="11">SUMPRODUCT(($AR$5:$AR$16=AR5)*($AY$5:$AY$16=AY5)*($AW$5:$AW$16&gt;AW5))</f>
        <v>0</v>
      </c>
      <c r="BD5" s="42">
        <f t="shared" ref="BD5:BD16" si="12">SUMPRODUCT(($AR$5:$AR$16=AR5)*($AY$5:$AY$16=AY5)*($AW$5:$AW$16=AW5)*($AX$5:$AX$16&gt;AX5))</f>
        <v>0</v>
      </c>
      <c r="BE5" s="42">
        <f t="shared" ref="BE5:BE16" si="13">SUMPRODUCT(($AR$5:$AR$16=AR5)*($AY$5:$AY$16=AY5)*($AW$5:$AW$16=AW5)*($AX$5:$AX$16=AX5)*($BF$5:$BF$16&lt;BF5))</f>
        <v>0</v>
      </c>
      <c r="BF5" s="43">
        <v>1</v>
      </c>
      <c r="BG5" s="49"/>
      <c r="BI5" s="23">
        <v>1</v>
      </c>
      <c r="BJ5" s="87" t="str">
        <f t="shared" ref="BJ5:BJ16" si="14">VLOOKUP($BI5,$AP$5:$AY$16,2,FALSE)</f>
        <v>Coreia do Sul</v>
      </c>
      <c r="BK5" s="88">
        <f t="shared" ref="BK5:BK16" si="15">VLOOKUP($BI5,$AP$5:$AY$16,3,FALSE)</f>
        <v>0</v>
      </c>
      <c r="BL5" s="88">
        <f t="shared" ref="BL5:BL16" si="16">VLOOKUP($BI5,$AP$5:$AY$16,4,FALSE)</f>
        <v>0</v>
      </c>
      <c r="BM5" s="88">
        <f t="shared" ref="BM5:BM16" si="17">VLOOKUP($BI5,$AP$5:$AY$16,5,FALSE)</f>
        <v>0</v>
      </c>
      <c r="BN5" s="88">
        <f t="shared" ref="BN5:BN16" si="18">VLOOKUP($BI5,$AP$5:$AY$16,6,FALSE)</f>
        <v>0</v>
      </c>
      <c r="BO5" s="88">
        <f t="shared" ref="BO5:BO16" si="19">VLOOKUP($BI5,$AP$5:$AY$16,7,FALSE)</f>
        <v>0</v>
      </c>
      <c r="BP5" s="88">
        <f t="shared" ref="BP5:BP16" si="20">VLOOKUP($BI5,$AP$5:$AY$16,8,FALSE)</f>
        <v>0</v>
      </c>
      <c r="BQ5" s="88">
        <f t="shared" ref="BQ5:BQ16" si="21">VLOOKUP($BI5,$AP$5:$AY$16,9,FALSE)</f>
        <v>0</v>
      </c>
      <c r="BR5" s="89">
        <f t="shared" ref="BR5:BR16" si="22">VLOOKUP($BI5,$AP$5:$AY$16,10,FALSE)</f>
        <v>0</v>
      </c>
    </row>
    <row r="6" spans="1:70" x14ac:dyDescent="0.25">
      <c r="A6" s="49"/>
      <c r="B6" s="104" t="s">
        <v>20</v>
      </c>
      <c r="C6" s="99">
        <v>46191</v>
      </c>
      <c r="D6" s="40" t="s">
        <v>21</v>
      </c>
      <c r="E6" s="110" t="str">
        <f>P8</f>
        <v>República Tcheca</v>
      </c>
      <c r="F6" s="127"/>
      <c r="G6" s="88" t="s">
        <v>22</v>
      </c>
      <c r="H6" s="127"/>
      <c r="I6" s="111" t="str">
        <f>P6</f>
        <v>África do Sul</v>
      </c>
      <c r="J6" s="42" t="str">
        <f t="shared" si="0"/>
        <v>empate</v>
      </c>
      <c r="K6" s="42" t="str">
        <f t="shared" si="1"/>
        <v/>
      </c>
      <c r="L6" s="42" t="str">
        <f t="shared" si="2"/>
        <v/>
      </c>
      <c r="M6" s="43" t="str">
        <f t="shared" si="3"/>
        <v>empate</v>
      </c>
      <c r="N6" s="50"/>
      <c r="O6" s="51">
        <f t="shared" ref="O6:O8" si="23">RANK(Q6,$Q$5:$Q$8)+SUM(Y6:AB6)</f>
        <v>2</v>
      </c>
      <c r="P6" s="53" t="str">
        <f>Sorteios!C7</f>
        <v>África do Sul</v>
      </c>
      <c r="Q6" s="42">
        <f t="shared" ref="Q6:Q8" si="24">(S6*3)+(T6*1)</f>
        <v>0</v>
      </c>
      <c r="R6" s="42">
        <f t="shared" ref="R6:R8" si="25">SUM(S6:U6)</f>
        <v>0</v>
      </c>
      <c r="S6" s="42">
        <f t="shared" ref="S6:S8" si="26">COUNTIF(J:J,P6)</f>
        <v>0</v>
      </c>
      <c r="T6" s="42">
        <f t="shared" ref="T6:T8" si="27">COUNTIF(K:K,P6)+COUNTIF(L:L,P6)</f>
        <v>0</v>
      </c>
      <c r="U6" s="42">
        <f t="shared" ref="U6:U8" si="28">COUNTIF(M:M,P6)</f>
        <v>0</v>
      </c>
      <c r="V6" s="42">
        <f t="shared" ref="V6:V8" si="29">SUMIF(E:E,P6,F:F)+SUMIF(I:I,P6,H:H)</f>
        <v>0</v>
      </c>
      <c r="W6" s="42">
        <f t="shared" ref="W6:W8" si="30">SUMIF(E:E,P6,H:H)+SUMIF(I:I,P6,F:F)</f>
        <v>0</v>
      </c>
      <c r="X6" s="42">
        <f t="shared" ref="X6:X8" si="31">V6-W6</f>
        <v>0</v>
      </c>
      <c r="Y6" s="42">
        <f t="shared" ref="Y6:Y8" si="32">SUMPRODUCT(($Q$5:$Q$8=Q6)*($X$5:$X$8&gt;X6))</f>
        <v>0</v>
      </c>
      <c r="Z6" s="42">
        <f t="shared" ref="Z6:Z8" si="33">SUMPRODUCT(($Q$5:$Q$8=Q6)*($X$5:$X$8=X6)*($V$5:$V$8&gt;V6))</f>
        <v>0</v>
      </c>
      <c r="AA6" s="42">
        <f t="shared" ref="AA6:AA8" si="34">SUMPRODUCT(($Q$5:$Q$8=Q6)*($X$5:$X$8=X6)*($V$5:$V$8=V6)*($W$5:$W$8&gt;W6))</f>
        <v>0</v>
      </c>
      <c r="AB6" s="42">
        <f t="shared" ref="AB6:AB8" si="35">SUMPRODUCT(($Q$5:$Q$8=Q6)*($X$5:$X$8=X6)*($V$5:$V$8=V6)*($W$5:$W$8=W6)*($AC$5:$AC$8&lt;AC6))</f>
        <v>1</v>
      </c>
      <c r="AC6" s="43">
        <v>2</v>
      </c>
      <c r="AD6" s="49"/>
      <c r="AE6" s="23">
        <v>2</v>
      </c>
      <c r="AF6" s="87" t="str">
        <f t="shared" ref="AF6:AF8" si="36">VLOOKUP($AE6,$O$5:$X$8,2,FALSE)</f>
        <v>África do Sul</v>
      </c>
      <c r="AG6" s="88">
        <f t="shared" ref="AG6:AG8" si="37">VLOOKUP($AE6,$O$5:$X$8,3,FALSE)</f>
        <v>0</v>
      </c>
      <c r="AH6" s="88">
        <f t="shared" ref="AH6:AH8" si="38">VLOOKUP($AE6,$O$5:$X$8,4,FALSE)</f>
        <v>0</v>
      </c>
      <c r="AI6" s="88">
        <f t="shared" ref="AI6:AI8" si="39">VLOOKUP($AE6,$O$5:$X$8,5,FALSE)</f>
        <v>0</v>
      </c>
      <c r="AJ6" s="88">
        <f t="shared" ref="AJ6:AJ8" si="40">VLOOKUP($AE6,$O$5:$X$8,6,FALSE)</f>
        <v>0</v>
      </c>
      <c r="AK6" s="88">
        <f t="shared" ref="AK6:AK8" si="41">VLOOKUP($AE6,$O$5:$X$8,7,FALSE)</f>
        <v>0</v>
      </c>
      <c r="AL6" s="88">
        <f t="shared" ref="AL6:AL8" si="42">VLOOKUP($AE6,$O$5:$X$8,8,FALSE)</f>
        <v>0</v>
      </c>
      <c r="AM6" s="88">
        <f t="shared" ref="AM6:AM8" si="43">VLOOKUP($AE6,$O$5:$X$8,9,FALSE)</f>
        <v>0</v>
      </c>
      <c r="AN6" s="89">
        <f t="shared" ref="AN6:AN8" si="44">VLOOKUP($AE6,$O$5:$X$8,10,FALSE)</f>
        <v>0</v>
      </c>
      <c r="AP6" s="52">
        <f t="shared" si="4"/>
        <v>2</v>
      </c>
      <c r="AQ6" s="54" t="str">
        <f>AF13</f>
        <v>Qatar</v>
      </c>
      <c r="AR6" s="42">
        <f t="shared" ref="AR6:AR16" si="45">(AT6*3)+(AU6*1)</f>
        <v>0</v>
      </c>
      <c r="AS6" s="42">
        <f t="shared" ref="AS6:AS16" si="46">SUM(AT6:AV6)</f>
        <v>0</v>
      </c>
      <c r="AT6" s="42">
        <f t="shared" si="5"/>
        <v>0</v>
      </c>
      <c r="AU6" s="42">
        <f t="shared" si="6"/>
        <v>0</v>
      </c>
      <c r="AV6" s="42">
        <f t="shared" si="7"/>
        <v>0</v>
      </c>
      <c r="AW6" s="42">
        <f t="shared" si="8"/>
        <v>0</v>
      </c>
      <c r="AX6" s="42">
        <f t="shared" si="9"/>
        <v>0</v>
      </c>
      <c r="AY6" s="42">
        <f t="shared" ref="AY6:AY16" si="47">AW6-AX6</f>
        <v>0</v>
      </c>
      <c r="AZ6" s="42" t="s">
        <v>48</v>
      </c>
      <c r="BA6" s="42" t="str">
        <f t="shared" ref="BA6:BA16" si="48">AQ6</f>
        <v>Qatar</v>
      </c>
      <c r="BB6" s="42">
        <f t="shared" si="10"/>
        <v>0</v>
      </c>
      <c r="BC6" s="42">
        <f t="shared" si="11"/>
        <v>0</v>
      </c>
      <c r="BD6" s="42">
        <f t="shared" si="12"/>
        <v>0</v>
      </c>
      <c r="BE6" s="42">
        <f t="shared" si="13"/>
        <v>1</v>
      </c>
      <c r="BF6" s="43">
        <v>2</v>
      </c>
      <c r="BG6" s="49"/>
      <c r="BI6" s="23">
        <v>2</v>
      </c>
      <c r="BJ6" s="87" t="str">
        <f t="shared" si="14"/>
        <v>Qatar</v>
      </c>
      <c r="BK6" s="88">
        <f t="shared" si="15"/>
        <v>0</v>
      </c>
      <c r="BL6" s="88">
        <f t="shared" si="16"/>
        <v>0</v>
      </c>
      <c r="BM6" s="88">
        <f t="shared" si="17"/>
        <v>0</v>
      </c>
      <c r="BN6" s="88">
        <f t="shared" si="18"/>
        <v>0</v>
      </c>
      <c r="BO6" s="88">
        <f t="shared" si="19"/>
        <v>0</v>
      </c>
      <c r="BP6" s="88">
        <f t="shared" si="20"/>
        <v>0</v>
      </c>
      <c r="BQ6" s="88">
        <f t="shared" si="21"/>
        <v>0</v>
      </c>
      <c r="BR6" s="89">
        <f t="shared" si="22"/>
        <v>0</v>
      </c>
    </row>
    <row r="7" spans="1:70" x14ac:dyDescent="0.25">
      <c r="A7" s="49"/>
      <c r="B7" s="104" t="s">
        <v>20</v>
      </c>
      <c r="C7" s="99">
        <v>46197</v>
      </c>
      <c r="D7" s="40" t="s">
        <v>47</v>
      </c>
      <c r="E7" s="110" t="str">
        <f>P8</f>
        <v>República Tcheca</v>
      </c>
      <c r="F7" s="127"/>
      <c r="G7" s="88" t="s">
        <v>22</v>
      </c>
      <c r="H7" s="127"/>
      <c r="I7" s="111" t="str">
        <f>P5</f>
        <v>México</v>
      </c>
      <c r="J7" s="42" t="str">
        <f t="shared" si="0"/>
        <v>empate</v>
      </c>
      <c r="K7" s="42" t="str">
        <f t="shared" si="1"/>
        <v/>
      </c>
      <c r="L7" s="42" t="str">
        <f t="shared" si="2"/>
        <v/>
      </c>
      <c r="M7" s="43" t="str">
        <f t="shared" si="3"/>
        <v>empate</v>
      </c>
      <c r="N7" s="50"/>
      <c r="O7" s="51">
        <f t="shared" si="23"/>
        <v>3</v>
      </c>
      <c r="P7" s="53" t="str">
        <f>Sorteios!C8</f>
        <v>Coreia do Sul</v>
      </c>
      <c r="Q7" s="42">
        <f t="shared" si="24"/>
        <v>0</v>
      </c>
      <c r="R7" s="42">
        <f t="shared" si="25"/>
        <v>0</v>
      </c>
      <c r="S7" s="42">
        <f t="shared" si="26"/>
        <v>0</v>
      </c>
      <c r="T7" s="42">
        <f t="shared" si="27"/>
        <v>0</v>
      </c>
      <c r="U7" s="42">
        <f t="shared" si="28"/>
        <v>0</v>
      </c>
      <c r="V7" s="42">
        <f t="shared" si="29"/>
        <v>0</v>
      </c>
      <c r="W7" s="42">
        <f t="shared" si="30"/>
        <v>0</v>
      </c>
      <c r="X7" s="42">
        <f t="shared" si="31"/>
        <v>0</v>
      </c>
      <c r="Y7" s="42">
        <f t="shared" si="32"/>
        <v>0</v>
      </c>
      <c r="Z7" s="42">
        <f t="shared" si="33"/>
        <v>0</v>
      </c>
      <c r="AA7" s="42">
        <f t="shared" si="34"/>
        <v>0</v>
      </c>
      <c r="AB7" s="42">
        <f t="shared" si="35"/>
        <v>2</v>
      </c>
      <c r="AC7" s="43">
        <v>3</v>
      </c>
      <c r="AD7" s="49"/>
      <c r="AE7" s="23">
        <v>3</v>
      </c>
      <c r="AF7" s="87" t="str">
        <f t="shared" si="36"/>
        <v>Coreia do Sul</v>
      </c>
      <c r="AG7" s="88">
        <f t="shared" si="37"/>
        <v>0</v>
      </c>
      <c r="AH7" s="88">
        <f t="shared" si="38"/>
        <v>0</v>
      </c>
      <c r="AI7" s="88">
        <f t="shared" si="39"/>
        <v>0</v>
      </c>
      <c r="AJ7" s="88">
        <f t="shared" si="40"/>
        <v>0</v>
      </c>
      <c r="AK7" s="88">
        <f t="shared" si="41"/>
        <v>0</v>
      </c>
      <c r="AL7" s="88">
        <f t="shared" si="42"/>
        <v>0</v>
      </c>
      <c r="AM7" s="88">
        <f t="shared" si="43"/>
        <v>0</v>
      </c>
      <c r="AN7" s="89">
        <f t="shared" si="44"/>
        <v>0</v>
      </c>
      <c r="AP7" s="52">
        <f t="shared" si="4"/>
        <v>3</v>
      </c>
      <c r="AQ7" s="54" t="str">
        <f>AF19</f>
        <v>Haiti</v>
      </c>
      <c r="AR7" s="42">
        <f t="shared" si="45"/>
        <v>0</v>
      </c>
      <c r="AS7" s="42">
        <f t="shared" si="46"/>
        <v>0</v>
      </c>
      <c r="AT7" s="42">
        <f t="shared" si="5"/>
        <v>0</v>
      </c>
      <c r="AU7" s="42">
        <f t="shared" si="6"/>
        <v>0</v>
      </c>
      <c r="AV7" s="42">
        <f t="shared" si="7"/>
        <v>0</v>
      </c>
      <c r="AW7" s="42">
        <f t="shared" si="8"/>
        <v>0</v>
      </c>
      <c r="AX7" s="42">
        <f t="shared" si="9"/>
        <v>0</v>
      </c>
      <c r="AY7" s="42">
        <f t="shared" si="47"/>
        <v>0</v>
      </c>
      <c r="AZ7" s="42" t="s">
        <v>50</v>
      </c>
      <c r="BA7" s="42" t="str">
        <f t="shared" si="48"/>
        <v>Haiti</v>
      </c>
      <c r="BB7" s="42">
        <f t="shared" si="10"/>
        <v>0</v>
      </c>
      <c r="BC7" s="42">
        <f t="shared" si="11"/>
        <v>0</v>
      </c>
      <c r="BD7" s="42">
        <f t="shared" si="12"/>
        <v>0</v>
      </c>
      <c r="BE7" s="42">
        <f t="shared" si="13"/>
        <v>2</v>
      </c>
      <c r="BF7" s="43">
        <v>3</v>
      </c>
      <c r="BG7" s="49"/>
      <c r="BI7" s="23">
        <v>3</v>
      </c>
      <c r="BJ7" s="87" t="str">
        <f t="shared" si="14"/>
        <v>Haiti</v>
      </c>
      <c r="BK7" s="88">
        <f t="shared" si="15"/>
        <v>0</v>
      </c>
      <c r="BL7" s="88">
        <f t="shared" si="16"/>
        <v>0</v>
      </c>
      <c r="BM7" s="88">
        <f t="shared" si="17"/>
        <v>0</v>
      </c>
      <c r="BN7" s="88">
        <f t="shared" si="18"/>
        <v>0</v>
      </c>
      <c r="BO7" s="88">
        <f t="shared" si="19"/>
        <v>0</v>
      </c>
      <c r="BP7" s="88">
        <f t="shared" si="20"/>
        <v>0</v>
      </c>
      <c r="BQ7" s="88">
        <f t="shared" si="21"/>
        <v>0</v>
      </c>
      <c r="BR7" s="89">
        <f t="shared" si="22"/>
        <v>0</v>
      </c>
    </row>
    <row r="8" spans="1:70" ht="15.75" thickBot="1" x14ac:dyDescent="0.3">
      <c r="A8" s="49"/>
      <c r="B8" s="105" t="s">
        <v>20</v>
      </c>
      <c r="C8" s="100">
        <v>46197</v>
      </c>
      <c r="D8" s="55" t="s">
        <v>47</v>
      </c>
      <c r="E8" s="112" t="str">
        <f>P6</f>
        <v>África do Sul</v>
      </c>
      <c r="F8" s="128"/>
      <c r="G8" s="91" t="s">
        <v>22</v>
      </c>
      <c r="H8" s="128"/>
      <c r="I8" s="113" t="str">
        <f>P7</f>
        <v>Coreia do Sul</v>
      </c>
      <c r="J8" s="57" t="str">
        <f t="shared" si="0"/>
        <v>empate</v>
      </c>
      <c r="K8" s="57" t="str">
        <f t="shared" si="1"/>
        <v/>
      </c>
      <c r="L8" s="57" t="str">
        <f t="shared" si="2"/>
        <v/>
      </c>
      <c r="M8" s="58" t="str">
        <f t="shared" si="3"/>
        <v>empate</v>
      </c>
      <c r="N8" s="59"/>
      <c r="O8" s="60">
        <f t="shared" si="23"/>
        <v>4</v>
      </c>
      <c r="P8" s="53" t="str">
        <f>Sorteios!C9</f>
        <v>República Tcheca</v>
      </c>
      <c r="Q8" s="42">
        <f t="shared" si="24"/>
        <v>0</v>
      </c>
      <c r="R8" s="42">
        <f t="shared" si="25"/>
        <v>0</v>
      </c>
      <c r="S8" s="42">
        <f t="shared" si="26"/>
        <v>0</v>
      </c>
      <c r="T8" s="42">
        <f t="shared" si="27"/>
        <v>0</v>
      </c>
      <c r="U8" s="42">
        <f t="shared" si="28"/>
        <v>0</v>
      </c>
      <c r="V8" s="42">
        <f t="shared" si="29"/>
        <v>0</v>
      </c>
      <c r="W8" s="42">
        <f t="shared" si="30"/>
        <v>0</v>
      </c>
      <c r="X8" s="42">
        <f t="shared" si="31"/>
        <v>0</v>
      </c>
      <c r="Y8" s="42">
        <f t="shared" si="32"/>
        <v>0</v>
      </c>
      <c r="Z8" s="42">
        <f t="shared" si="33"/>
        <v>0</v>
      </c>
      <c r="AA8" s="42">
        <f t="shared" si="34"/>
        <v>0</v>
      </c>
      <c r="AB8" s="42">
        <f t="shared" si="35"/>
        <v>3</v>
      </c>
      <c r="AC8" s="58">
        <v>4</v>
      </c>
      <c r="AD8" s="61"/>
      <c r="AE8" s="24">
        <v>4</v>
      </c>
      <c r="AF8" s="90" t="str">
        <f t="shared" si="36"/>
        <v>República Tcheca</v>
      </c>
      <c r="AG8" s="91">
        <f t="shared" si="37"/>
        <v>0</v>
      </c>
      <c r="AH8" s="91">
        <f t="shared" si="38"/>
        <v>0</v>
      </c>
      <c r="AI8" s="91">
        <f t="shared" si="39"/>
        <v>0</v>
      </c>
      <c r="AJ8" s="91">
        <f t="shared" si="40"/>
        <v>0</v>
      </c>
      <c r="AK8" s="91">
        <f t="shared" si="41"/>
        <v>0</v>
      </c>
      <c r="AL8" s="91">
        <f t="shared" si="42"/>
        <v>0</v>
      </c>
      <c r="AM8" s="91">
        <f t="shared" si="43"/>
        <v>0</v>
      </c>
      <c r="AN8" s="92">
        <f t="shared" si="44"/>
        <v>0</v>
      </c>
      <c r="AP8" s="52">
        <f t="shared" si="4"/>
        <v>4</v>
      </c>
      <c r="AQ8" s="54" t="str">
        <f>AF25</f>
        <v>Austrália</v>
      </c>
      <c r="AR8" s="42">
        <f t="shared" si="45"/>
        <v>0</v>
      </c>
      <c r="AS8" s="42">
        <f t="shared" si="46"/>
        <v>0</v>
      </c>
      <c r="AT8" s="42">
        <f t="shared" si="5"/>
        <v>0</v>
      </c>
      <c r="AU8" s="42">
        <f t="shared" si="6"/>
        <v>0</v>
      </c>
      <c r="AV8" s="42">
        <f t="shared" si="7"/>
        <v>0</v>
      </c>
      <c r="AW8" s="42">
        <f t="shared" si="8"/>
        <v>0</v>
      </c>
      <c r="AX8" s="42">
        <f t="shared" si="9"/>
        <v>0</v>
      </c>
      <c r="AY8" s="42">
        <f t="shared" si="47"/>
        <v>0</v>
      </c>
      <c r="AZ8" s="42" t="s">
        <v>45</v>
      </c>
      <c r="BA8" s="42" t="str">
        <f t="shared" si="48"/>
        <v>Austrália</v>
      </c>
      <c r="BB8" s="42">
        <f t="shared" si="10"/>
        <v>0</v>
      </c>
      <c r="BC8" s="42">
        <f t="shared" si="11"/>
        <v>0</v>
      </c>
      <c r="BD8" s="42">
        <f t="shared" si="12"/>
        <v>0</v>
      </c>
      <c r="BE8" s="42">
        <f t="shared" si="13"/>
        <v>3</v>
      </c>
      <c r="BF8" s="58">
        <v>4</v>
      </c>
      <c r="BG8" s="49"/>
      <c r="BI8" s="23">
        <v>4</v>
      </c>
      <c r="BJ8" s="87" t="str">
        <f t="shared" si="14"/>
        <v>Austrália</v>
      </c>
      <c r="BK8" s="88">
        <f t="shared" si="15"/>
        <v>0</v>
      </c>
      <c r="BL8" s="88">
        <f t="shared" si="16"/>
        <v>0</v>
      </c>
      <c r="BM8" s="88">
        <f t="shared" si="17"/>
        <v>0</v>
      </c>
      <c r="BN8" s="88">
        <f t="shared" si="18"/>
        <v>0</v>
      </c>
      <c r="BO8" s="88">
        <f t="shared" si="19"/>
        <v>0</v>
      </c>
      <c r="BP8" s="88">
        <f t="shared" si="20"/>
        <v>0</v>
      </c>
      <c r="BQ8" s="88">
        <f t="shared" si="21"/>
        <v>0</v>
      </c>
      <c r="BR8" s="89">
        <f t="shared" si="22"/>
        <v>0</v>
      </c>
    </row>
    <row r="9" spans="1:70" x14ac:dyDescent="0.25">
      <c r="A9" s="49"/>
      <c r="B9" s="106" t="s">
        <v>48</v>
      </c>
      <c r="C9" s="101">
        <v>46185</v>
      </c>
      <c r="D9" s="62" t="s">
        <v>46</v>
      </c>
      <c r="E9" s="114" t="str">
        <f>P11</f>
        <v>Canadá</v>
      </c>
      <c r="F9" s="129"/>
      <c r="G9" s="115" t="s">
        <v>22</v>
      </c>
      <c r="H9" s="129"/>
      <c r="I9" s="116" t="str">
        <f>P12</f>
        <v>Bósnia</v>
      </c>
      <c r="J9" s="63" t="str">
        <f t="shared" si="0"/>
        <v>empate</v>
      </c>
      <c r="K9" s="63" t="str">
        <f t="shared" si="1"/>
        <v/>
      </c>
      <c r="L9" s="63" t="str">
        <f t="shared" si="2"/>
        <v/>
      </c>
      <c r="M9" s="64" t="str">
        <f t="shared" si="3"/>
        <v>empate</v>
      </c>
      <c r="N9" s="65"/>
      <c r="O9" s="66"/>
      <c r="P9" s="46" t="s">
        <v>49</v>
      </c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8"/>
      <c r="AE9" s="82" t="s">
        <v>49</v>
      </c>
      <c r="AF9" s="83"/>
      <c r="AG9" s="83"/>
      <c r="AH9" s="83"/>
      <c r="AI9" s="83"/>
      <c r="AJ9" s="83"/>
      <c r="AK9" s="83"/>
      <c r="AL9" s="83"/>
      <c r="AM9" s="83"/>
      <c r="AN9" s="84"/>
      <c r="AP9" s="52">
        <f t="shared" si="4"/>
        <v>5</v>
      </c>
      <c r="AQ9" s="54" t="str">
        <f>AF31</f>
        <v>Costa do Marfim</v>
      </c>
      <c r="AR9" s="42">
        <f t="shared" si="45"/>
        <v>0</v>
      </c>
      <c r="AS9" s="42">
        <f t="shared" si="46"/>
        <v>0</v>
      </c>
      <c r="AT9" s="42">
        <f t="shared" si="5"/>
        <v>0</v>
      </c>
      <c r="AU9" s="42">
        <f t="shared" si="6"/>
        <v>0</v>
      </c>
      <c r="AV9" s="42">
        <f t="shared" si="7"/>
        <v>0</v>
      </c>
      <c r="AW9" s="42">
        <f t="shared" si="8"/>
        <v>0</v>
      </c>
      <c r="AX9" s="42">
        <f t="shared" si="9"/>
        <v>0</v>
      </c>
      <c r="AY9" s="42">
        <f t="shared" si="47"/>
        <v>0</v>
      </c>
      <c r="AZ9" s="42" t="s">
        <v>44</v>
      </c>
      <c r="BA9" s="42" t="str">
        <f t="shared" si="48"/>
        <v>Costa do Marfim</v>
      </c>
      <c r="BB9" s="42">
        <f t="shared" si="10"/>
        <v>0</v>
      </c>
      <c r="BC9" s="42">
        <f t="shared" si="11"/>
        <v>0</v>
      </c>
      <c r="BD9" s="42">
        <f t="shared" si="12"/>
        <v>0</v>
      </c>
      <c r="BE9" s="42">
        <f t="shared" si="13"/>
        <v>4</v>
      </c>
      <c r="BF9" s="43">
        <v>5</v>
      </c>
      <c r="BG9" s="49"/>
      <c r="BI9" s="23">
        <v>5</v>
      </c>
      <c r="BJ9" s="87" t="str">
        <f t="shared" si="14"/>
        <v>Costa do Marfim</v>
      </c>
      <c r="BK9" s="88">
        <f t="shared" si="15"/>
        <v>0</v>
      </c>
      <c r="BL9" s="88">
        <f t="shared" si="16"/>
        <v>0</v>
      </c>
      <c r="BM9" s="88">
        <f t="shared" si="17"/>
        <v>0</v>
      </c>
      <c r="BN9" s="88">
        <f t="shared" si="18"/>
        <v>0</v>
      </c>
      <c r="BO9" s="88">
        <f t="shared" si="19"/>
        <v>0</v>
      </c>
      <c r="BP9" s="88">
        <f t="shared" si="20"/>
        <v>0</v>
      </c>
      <c r="BQ9" s="88">
        <f t="shared" si="21"/>
        <v>0</v>
      </c>
      <c r="BR9" s="89">
        <f t="shared" si="22"/>
        <v>0</v>
      </c>
    </row>
    <row r="10" spans="1:70" x14ac:dyDescent="0.25">
      <c r="A10" s="49"/>
      <c r="B10" s="104" t="s">
        <v>48</v>
      </c>
      <c r="C10" s="99">
        <v>46186</v>
      </c>
      <c r="D10" s="41" t="s">
        <v>21</v>
      </c>
      <c r="E10" s="87" t="str">
        <f>P13</f>
        <v>Qatar</v>
      </c>
      <c r="F10" s="127"/>
      <c r="G10" s="88" t="s">
        <v>22</v>
      </c>
      <c r="H10" s="127"/>
      <c r="I10" s="117" t="str">
        <f>P14</f>
        <v>Suiça</v>
      </c>
      <c r="J10" s="42" t="str">
        <f t="shared" si="0"/>
        <v>empate</v>
      </c>
      <c r="K10" s="42" t="str">
        <f t="shared" si="1"/>
        <v/>
      </c>
      <c r="L10" s="42" t="str">
        <f t="shared" si="2"/>
        <v/>
      </c>
      <c r="M10" s="43" t="str">
        <f t="shared" si="3"/>
        <v>empate</v>
      </c>
      <c r="N10" s="50"/>
      <c r="O10" s="51" t="s">
        <v>25</v>
      </c>
      <c r="P10" s="18" t="s">
        <v>26</v>
      </c>
      <c r="Q10" s="42" t="s">
        <v>27</v>
      </c>
      <c r="R10" s="42" t="s">
        <v>28</v>
      </c>
      <c r="S10" s="42" t="s">
        <v>29</v>
      </c>
      <c r="T10" s="42" t="s">
        <v>30</v>
      </c>
      <c r="U10" s="42" t="s">
        <v>31</v>
      </c>
      <c r="V10" s="42" t="s">
        <v>32</v>
      </c>
      <c r="W10" s="42" t="s">
        <v>33</v>
      </c>
      <c r="X10" s="42" t="s">
        <v>34</v>
      </c>
      <c r="Y10" s="42" t="s">
        <v>35</v>
      </c>
      <c r="Z10" s="42" t="s">
        <v>36</v>
      </c>
      <c r="AA10" s="42" t="s">
        <v>37</v>
      </c>
      <c r="AB10" s="42" t="s">
        <v>38</v>
      </c>
      <c r="AC10" s="43" t="s">
        <v>39</v>
      </c>
      <c r="AD10" s="49"/>
      <c r="AE10" s="23" t="s">
        <v>40</v>
      </c>
      <c r="AF10" s="85" t="s">
        <v>17</v>
      </c>
      <c r="AG10" s="85" t="s">
        <v>41</v>
      </c>
      <c r="AH10" s="85" t="s">
        <v>42</v>
      </c>
      <c r="AI10" s="85" t="s">
        <v>43</v>
      </c>
      <c r="AJ10" s="85" t="s">
        <v>44</v>
      </c>
      <c r="AK10" s="85" t="s">
        <v>45</v>
      </c>
      <c r="AL10" s="85" t="s">
        <v>32</v>
      </c>
      <c r="AM10" s="85" t="s">
        <v>33</v>
      </c>
      <c r="AN10" s="86" t="s">
        <v>34</v>
      </c>
      <c r="AP10" s="52">
        <f t="shared" si="4"/>
        <v>6</v>
      </c>
      <c r="AQ10" s="54" t="str">
        <f>AF37</f>
        <v>Suécia</v>
      </c>
      <c r="AR10" s="42">
        <f t="shared" si="45"/>
        <v>0</v>
      </c>
      <c r="AS10" s="42">
        <f t="shared" si="46"/>
        <v>0</v>
      </c>
      <c r="AT10" s="42">
        <f t="shared" si="5"/>
        <v>0</v>
      </c>
      <c r="AU10" s="42">
        <f t="shared" si="6"/>
        <v>0</v>
      </c>
      <c r="AV10" s="42">
        <f t="shared" si="7"/>
        <v>0</v>
      </c>
      <c r="AW10" s="42">
        <f t="shared" si="8"/>
        <v>0</v>
      </c>
      <c r="AX10" s="42">
        <f t="shared" si="9"/>
        <v>0</v>
      </c>
      <c r="AY10" s="42">
        <f t="shared" si="47"/>
        <v>0</v>
      </c>
      <c r="AZ10" s="42" t="s">
        <v>58</v>
      </c>
      <c r="BA10" s="42" t="str">
        <f t="shared" si="48"/>
        <v>Suécia</v>
      </c>
      <c r="BB10" s="42">
        <f t="shared" si="10"/>
        <v>0</v>
      </c>
      <c r="BC10" s="42">
        <f t="shared" si="11"/>
        <v>0</v>
      </c>
      <c r="BD10" s="42">
        <f t="shared" si="12"/>
        <v>0</v>
      </c>
      <c r="BE10" s="42">
        <f t="shared" si="13"/>
        <v>5</v>
      </c>
      <c r="BF10" s="43">
        <v>6</v>
      </c>
      <c r="BG10" s="49"/>
      <c r="BI10" s="23">
        <v>6</v>
      </c>
      <c r="BJ10" s="87" t="str">
        <f t="shared" si="14"/>
        <v>Suécia</v>
      </c>
      <c r="BK10" s="88">
        <f t="shared" si="15"/>
        <v>0</v>
      </c>
      <c r="BL10" s="88">
        <f t="shared" si="16"/>
        <v>0</v>
      </c>
      <c r="BM10" s="88">
        <f t="shared" si="17"/>
        <v>0</v>
      </c>
      <c r="BN10" s="88">
        <f t="shared" si="18"/>
        <v>0</v>
      </c>
      <c r="BO10" s="88">
        <f t="shared" si="19"/>
        <v>0</v>
      </c>
      <c r="BP10" s="88">
        <f t="shared" si="20"/>
        <v>0</v>
      </c>
      <c r="BQ10" s="88">
        <f t="shared" si="21"/>
        <v>0</v>
      </c>
      <c r="BR10" s="89">
        <f t="shared" si="22"/>
        <v>0</v>
      </c>
    </row>
    <row r="11" spans="1:70" x14ac:dyDescent="0.25">
      <c r="A11" s="49"/>
      <c r="B11" s="104" t="s">
        <v>48</v>
      </c>
      <c r="C11" s="99">
        <v>46191</v>
      </c>
      <c r="D11" s="41" t="s">
        <v>24</v>
      </c>
      <c r="E11" s="87" t="str">
        <f>P11</f>
        <v>Canadá</v>
      </c>
      <c r="F11" s="127"/>
      <c r="G11" s="88" t="s">
        <v>22</v>
      </c>
      <c r="H11" s="127"/>
      <c r="I11" s="117" t="str">
        <f>P13</f>
        <v>Qatar</v>
      </c>
      <c r="J11" s="42" t="str">
        <f t="shared" si="0"/>
        <v>empate</v>
      </c>
      <c r="K11" s="42" t="str">
        <f t="shared" si="1"/>
        <v/>
      </c>
      <c r="L11" s="42" t="str">
        <f t="shared" si="2"/>
        <v/>
      </c>
      <c r="M11" s="43" t="str">
        <f t="shared" si="3"/>
        <v>empate</v>
      </c>
      <c r="N11" s="50"/>
      <c r="O11" s="51">
        <f>RANK(Q11,$Q$11:$Q$14)+SUM(Y11:AB11)</f>
        <v>1</v>
      </c>
      <c r="P11" s="53" t="str">
        <f>Sorteios!F6</f>
        <v>Canadá</v>
      </c>
      <c r="Q11" s="42">
        <f>(S11*3)+(T11*1)</f>
        <v>0</v>
      </c>
      <c r="R11" s="42">
        <f>SUM(S11:U11)</f>
        <v>0</v>
      </c>
      <c r="S11" s="42">
        <f>COUNTIF(J:J,P11)</f>
        <v>0</v>
      </c>
      <c r="T11" s="42">
        <f>COUNTIF(K:K,P11)+COUNTIF(L:L,P11)</f>
        <v>0</v>
      </c>
      <c r="U11" s="42">
        <f>COUNTIF(M:M,P11)</f>
        <v>0</v>
      </c>
      <c r="V11" s="42">
        <f>SUMIF(E:E,P11,F:F)+SUMIF(I:I,P11,H:H)</f>
        <v>0</v>
      </c>
      <c r="W11" s="42">
        <f>SUMIF(E:E,P11,H:H)+SUMIF(I:I,P11,F:F)</f>
        <v>0</v>
      </c>
      <c r="X11" s="42">
        <f>V11-W11</f>
        <v>0</v>
      </c>
      <c r="Y11" s="42">
        <f>SUMPRODUCT(($Q$11:$Q$14=Q11)*($X$11:$X$14&gt;X11))</f>
        <v>0</v>
      </c>
      <c r="Z11" s="42">
        <f>SUMPRODUCT(($Q$11:$Q$14=Q11)*($X$11:$X$14=X11)*($V$11:$V$14&gt;V11))</f>
        <v>0</v>
      </c>
      <c r="AA11" s="42">
        <f>SUMPRODUCT(($Q$11:$Q$14=Q11)*($X$11:$X$14=X11)*($V$11:$V$14=V11)*($W$11:$W$14&gt;W11))</f>
        <v>0</v>
      </c>
      <c r="AB11" s="42">
        <f>SUMPRODUCT(($Q$11:$Q$14=Q11)*($X$11:$X$14=X11)*($V$11:$V$14=V11)*($W$11:$W$14=W11)*($AC$11:$AC$14&lt;AC11))</f>
        <v>0</v>
      </c>
      <c r="AC11" s="43">
        <v>1</v>
      </c>
      <c r="AD11" s="49"/>
      <c r="AE11" s="23">
        <v>1</v>
      </c>
      <c r="AF11" s="87" t="str">
        <f>VLOOKUP($AE11,$O$11:$X$14,2,FALSE)</f>
        <v>Canadá</v>
      </c>
      <c r="AG11" s="88">
        <f>VLOOKUP($AE11,$O$11:$X$14,3,FALSE)</f>
        <v>0</v>
      </c>
      <c r="AH11" s="88">
        <f>VLOOKUP($AE11,$O$11:$X$14,4,FALSE)</f>
        <v>0</v>
      </c>
      <c r="AI11" s="88">
        <f>VLOOKUP($AE11,$O$11:$X$14,5,FALSE)</f>
        <v>0</v>
      </c>
      <c r="AJ11" s="88">
        <f>VLOOKUP($AE11,$O$11:$X$14,6,FALSE)</f>
        <v>0</v>
      </c>
      <c r="AK11" s="88">
        <f>VLOOKUP($AE11,$O$11:$X$14,7,FALSE)</f>
        <v>0</v>
      </c>
      <c r="AL11" s="88">
        <f>VLOOKUP($AE11,$O$11:$X$14,8,FALSE)</f>
        <v>0</v>
      </c>
      <c r="AM11" s="88">
        <f>VLOOKUP($AE11,$O$11:$X$14,9,FALSE)</f>
        <v>0</v>
      </c>
      <c r="AN11" s="89">
        <f>VLOOKUP($AE11,$O$11:$X$14,10,FALSE)</f>
        <v>0</v>
      </c>
      <c r="AP11" s="52">
        <f t="shared" si="4"/>
        <v>7</v>
      </c>
      <c r="AQ11" s="54" t="str">
        <f>AF43</f>
        <v>Irã</v>
      </c>
      <c r="AR11" s="42">
        <f t="shared" si="45"/>
        <v>0</v>
      </c>
      <c r="AS11" s="42">
        <f t="shared" si="46"/>
        <v>0</v>
      </c>
      <c r="AT11" s="42">
        <f t="shared" si="5"/>
        <v>0</v>
      </c>
      <c r="AU11" s="42">
        <f t="shared" si="6"/>
        <v>0</v>
      </c>
      <c r="AV11" s="42">
        <f t="shared" si="7"/>
        <v>0</v>
      </c>
      <c r="AW11" s="42">
        <f t="shared" si="8"/>
        <v>0</v>
      </c>
      <c r="AX11" s="42">
        <f t="shared" si="9"/>
        <v>0</v>
      </c>
      <c r="AY11" s="42">
        <f t="shared" si="47"/>
        <v>0</v>
      </c>
      <c r="AZ11" s="42" t="s">
        <v>60</v>
      </c>
      <c r="BA11" s="42" t="str">
        <f t="shared" si="48"/>
        <v>Irã</v>
      </c>
      <c r="BB11" s="42">
        <f t="shared" si="10"/>
        <v>0</v>
      </c>
      <c r="BC11" s="42">
        <f t="shared" si="11"/>
        <v>0</v>
      </c>
      <c r="BD11" s="42">
        <f t="shared" si="12"/>
        <v>0</v>
      </c>
      <c r="BE11" s="42">
        <f t="shared" si="13"/>
        <v>6</v>
      </c>
      <c r="BF11" s="43">
        <v>7</v>
      </c>
      <c r="BG11" s="49"/>
      <c r="BI11" s="23">
        <v>7</v>
      </c>
      <c r="BJ11" s="87" t="str">
        <f t="shared" si="14"/>
        <v>Irã</v>
      </c>
      <c r="BK11" s="88">
        <f t="shared" si="15"/>
        <v>0</v>
      </c>
      <c r="BL11" s="88">
        <f t="shared" si="16"/>
        <v>0</v>
      </c>
      <c r="BM11" s="88">
        <f t="shared" si="17"/>
        <v>0</v>
      </c>
      <c r="BN11" s="88">
        <f t="shared" si="18"/>
        <v>0</v>
      </c>
      <c r="BO11" s="88">
        <f t="shared" si="19"/>
        <v>0</v>
      </c>
      <c r="BP11" s="88">
        <f t="shared" si="20"/>
        <v>0</v>
      </c>
      <c r="BQ11" s="88">
        <f t="shared" si="21"/>
        <v>0</v>
      </c>
      <c r="BR11" s="89">
        <f t="shared" si="22"/>
        <v>0</v>
      </c>
    </row>
    <row r="12" spans="1:70" ht="15.75" thickBot="1" x14ac:dyDescent="0.3">
      <c r="A12" s="49"/>
      <c r="B12" s="104" t="s">
        <v>48</v>
      </c>
      <c r="C12" s="99">
        <v>46191</v>
      </c>
      <c r="D12" s="41" t="s">
        <v>46</v>
      </c>
      <c r="E12" s="87" t="str">
        <f>P14</f>
        <v>Suiça</v>
      </c>
      <c r="F12" s="127"/>
      <c r="G12" s="88" t="s">
        <v>22</v>
      </c>
      <c r="H12" s="127"/>
      <c r="I12" s="117" t="str">
        <f>P12</f>
        <v>Bósnia</v>
      </c>
      <c r="J12" s="42" t="str">
        <f t="shared" si="0"/>
        <v>empate</v>
      </c>
      <c r="K12" s="42" t="str">
        <f t="shared" si="1"/>
        <v/>
      </c>
      <c r="L12" s="42" t="str">
        <f t="shared" si="2"/>
        <v/>
      </c>
      <c r="M12" s="43" t="str">
        <f t="shared" si="3"/>
        <v>empate</v>
      </c>
      <c r="N12" s="50"/>
      <c r="O12" s="51">
        <f t="shared" ref="O12:O14" si="49">RANK(Q12,$Q$11:$Q$14)+SUM(Y12:AB12)</f>
        <v>2</v>
      </c>
      <c r="P12" s="53" t="str">
        <f>Sorteios!F7</f>
        <v>Bósnia</v>
      </c>
      <c r="Q12" s="42">
        <f t="shared" ref="Q12:Q14" si="50">(S12*3)+(T12*1)</f>
        <v>0</v>
      </c>
      <c r="R12" s="42">
        <f t="shared" ref="R12:R14" si="51">SUM(S12:U12)</f>
        <v>0</v>
      </c>
      <c r="S12" s="42">
        <f t="shared" ref="S12:S14" si="52">COUNTIF(J:J,P12)</f>
        <v>0</v>
      </c>
      <c r="T12" s="42">
        <f t="shared" ref="T12:T14" si="53">COUNTIF(K:K,P12)+COUNTIF(L:L,P12)</f>
        <v>0</v>
      </c>
      <c r="U12" s="42">
        <f t="shared" ref="U12:U14" si="54">COUNTIF(M:M,P12)</f>
        <v>0</v>
      </c>
      <c r="V12" s="42">
        <f>SUMIF(E:E,P12,F:F)+SUMIF(I:I,P12,H:H)</f>
        <v>0</v>
      </c>
      <c r="W12" s="42">
        <f>SUMIF(E:E,P12,H:H)+SUMIF(I:I,P12,F:F)</f>
        <v>0</v>
      </c>
      <c r="X12" s="42">
        <f t="shared" ref="X12:X14" si="55">V12-W12</f>
        <v>0</v>
      </c>
      <c r="Y12" s="42">
        <f t="shared" ref="Y12:Y14" si="56">SUMPRODUCT(($Q$11:$Q$14=Q12)*($X$11:$X$14&gt;X12))</f>
        <v>0</v>
      </c>
      <c r="Z12" s="42">
        <f t="shared" ref="Z12:Z14" si="57">SUMPRODUCT(($Q$11:$Q$14=Q12)*($X$11:$X$14=X12)*($V$11:$V$14&gt;V12))</f>
        <v>0</v>
      </c>
      <c r="AA12" s="42">
        <f t="shared" ref="AA12:AA14" si="58">SUMPRODUCT(($Q$11:$Q$14=Q12)*($X$11:$X$14=X12)*($V$11:$V$14=V12)*($W$11:$W$14&gt;W12))</f>
        <v>0</v>
      </c>
      <c r="AB12" s="42">
        <f t="shared" ref="AB12:AB14" si="59">SUMPRODUCT(($Q$11:$Q$14=Q12)*($X$11:$X$14=X12)*($V$11:$V$14=V12)*($W$11:$W$14=W12)*($AC$11:$AC$14&lt;AC12))</f>
        <v>1</v>
      </c>
      <c r="AC12" s="43">
        <v>2</v>
      </c>
      <c r="AD12" s="49"/>
      <c r="AE12" s="23">
        <v>2</v>
      </c>
      <c r="AF12" s="87" t="str">
        <f t="shared" ref="AF12:AF14" si="60">VLOOKUP($AE12,$O$11:$X$14,2,FALSE)</f>
        <v>Bósnia</v>
      </c>
      <c r="AG12" s="88">
        <f t="shared" ref="AG12:AG14" si="61">VLOOKUP($AE12,$O$11:$X$14,3,FALSE)</f>
        <v>0</v>
      </c>
      <c r="AH12" s="88">
        <f t="shared" ref="AH12:AH14" si="62">VLOOKUP($AE12,$O$11:$X$14,4,FALSE)</f>
        <v>0</v>
      </c>
      <c r="AI12" s="88">
        <f t="shared" ref="AI12:AI14" si="63">VLOOKUP($AE12,$O$11:$X$14,5,FALSE)</f>
        <v>0</v>
      </c>
      <c r="AJ12" s="88">
        <f t="shared" ref="AJ12:AJ14" si="64">VLOOKUP($AE12,$O$11:$X$14,6,FALSE)</f>
        <v>0</v>
      </c>
      <c r="AK12" s="88">
        <f t="shared" ref="AK12:AK14" si="65">VLOOKUP($AE12,$O$11:$X$14,7,FALSE)</f>
        <v>0</v>
      </c>
      <c r="AL12" s="88">
        <f t="shared" ref="AL12:AL14" si="66">VLOOKUP($AE12,$O$11:$X$14,8,FALSE)</f>
        <v>0</v>
      </c>
      <c r="AM12" s="88">
        <f t="shared" ref="AM12:AM14" si="67">VLOOKUP($AE12,$O$11:$X$14,9,FALSE)</f>
        <v>0</v>
      </c>
      <c r="AN12" s="89">
        <f t="shared" ref="AN12:AN14" si="68">VLOOKUP($AE12,$O$11:$X$14,10,FALSE)</f>
        <v>0</v>
      </c>
      <c r="AP12" s="52">
        <f t="shared" si="4"/>
        <v>8</v>
      </c>
      <c r="AQ12" s="54" t="str">
        <f>AF49</f>
        <v>Arábia Saudita</v>
      </c>
      <c r="AR12" s="42">
        <f t="shared" si="45"/>
        <v>0</v>
      </c>
      <c r="AS12" s="42">
        <f t="shared" si="46"/>
        <v>0</v>
      </c>
      <c r="AT12" s="42">
        <f t="shared" si="5"/>
        <v>0</v>
      </c>
      <c r="AU12" s="42">
        <f t="shared" si="6"/>
        <v>0</v>
      </c>
      <c r="AV12" s="42">
        <f t="shared" si="7"/>
        <v>0</v>
      </c>
      <c r="AW12" s="42">
        <f t="shared" si="8"/>
        <v>0</v>
      </c>
      <c r="AX12" s="42">
        <f t="shared" si="9"/>
        <v>0</v>
      </c>
      <c r="AY12" s="42">
        <f t="shared" si="47"/>
        <v>0</v>
      </c>
      <c r="AZ12" s="42" t="s">
        <v>62</v>
      </c>
      <c r="BA12" s="42" t="str">
        <f t="shared" si="48"/>
        <v>Arábia Saudita</v>
      </c>
      <c r="BB12" s="42">
        <f t="shared" si="10"/>
        <v>0</v>
      </c>
      <c r="BC12" s="42">
        <f t="shared" si="11"/>
        <v>0</v>
      </c>
      <c r="BD12" s="42">
        <f t="shared" si="12"/>
        <v>0</v>
      </c>
      <c r="BE12" s="42">
        <f t="shared" si="13"/>
        <v>7</v>
      </c>
      <c r="BF12" s="58">
        <v>8</v>
      </c>
      <c r="BG12" s="49"/>
      <c r="BI12" s="23">
        <v>8</v>
      </c>
      <c r="BJ12" s="87" t="str">
        <f t="shared" si="14"/>
        <v>Arábia Saudita</v>
      </c>
      <c r="BK12" s="88">
        <f t="shared" si="15"/>
        <v>0</v>
      </c>
      <c r="BL12" s="88">
        <f t="shared" si="16"/>
        <v>0</v>
      </c>
      <c r="BM12" s="88">
        <f t="shared" si="17"/>
        <v>0</v>
      </c>
      <c r="BN12" s="88">
        <f t="shared" si="18"/>
        <v>0</v>
      </c>
      <c r="BO12" s="88">
        <f t="shared" si="19"/>
        <v>0</v>
      </c>
      <c r="BP12" s="88">
        <f t="shared" si="20"/>
        <v>0</v>
      </c>
      <c r="BQ12" s="88">
        <f t="shared" si="21"/>
        <v>0</v>
      </c>
      <c r="BR12" s="89">
        <f t="shared" si="22"/>
        <v>0</v>
      </c>
    </row>
    <row r="13" spans="1:70" x14ac:dyDescent="0.25">
      <c r="A13" s="49"/>
      <c r="B13" s="104" t="s">
        <v>48</v>
      </c>
      <c r="C13" s="99">
        <v>46197</v>
      </c>
      <c r="D13" s="41" t="s">
        <v>46</v>
      </c>
      <c r="E13" s="87" t="str">
        <f>P14</f>
        <v>Suiça</v>
      </c>
      <c r="F13" s="127"/>
      <c r="G13" s="88" t="s">
        <v>22</v>
      </c>
      <c r="H13" s="127"/>
      <c r="I13" s="117" t="str">
        <f>P11</f>
        <v>Canadá</v>
      </c>
      <c r="J13" s="42" t="str">
        <f t="shared" si="0"/>
        <v>empate</v>
      </c>
      <c r="K13" s="42" t="str">
        <f t="shared" si="1"/>
        <v/>
      </c>
      <c r="L13" s="42" t="str">
        <f t="shared" si="2"/>
        <v/>
      </c>
      <c r="M13" s="43" t="str">
        <f t="shared" si="3"/>
        <v>empate</v>
      </c>
      <c r="N13" s="50"/>
      <c r="O13" s="51">
        <f t="shared" si="49"/>
        <v>3</v>
      </c>
      <c r="P13" s="53" t="str">
        <f>Sorteios!F8</f>
        <v>Qatar</v>
      </c>
      <c r="Q13" s="42">
        <f t="shared" si="50"/>
        <v>0</v>
      </c>
      <c r="R13" s="42">
        <f t="shared" si="51"/>
        <v>0</v>
      </c>
      <c r="S13" s="42">
        <f t="shared" si="52"/>
        <v>0</v>
      </c>
      <c r="T13" s="42">
        <f t="shared" si="53"/>
        <v>0</v>
      </c>
      <c r="U13" s="42">
        <f t="shared" si="54"/>
        <v>0</v>
      </c>
      <c r="V13" s="42">
        <f>SUMIF(E:E,P13,F:F)+SUMIF(I:I,P13,H:H)</f>
        <v>0</v>
      </c>
      <c r="W13" s="42">
        <f>SUMIF(E:E,P13,H:H)+SUMIF(I:I,P13,F:F)</f>
        <v>0</v>
      </c>
      <c r="X13" s="42">
        <f t="shared" si="55"/>
        <v>0</v>
      </c>
      <c r="Y13" s="42">
        <f t="shared" si="56"/>
        <v>0</v>
      </c>
      <c r="Z13" s="42">
        <f t="shared" si="57"/>
        <v>0</v>
      </c>
      <c r="AA13" s="42">
        <f t="shared" si="58"/>
        <v>0</v>
      </c>
      <c r="AB13" s="42">
        <f t="shared" si="59"/>
        <v>2</v>
      </c>
      <c r="AC13" s="43">
        <v>3</v>
      </c>
      <c r="AD13" s="49"/>
      <c r="AE13" s="23">
        <v>3</v>
      </c>
      <c r="AF13" s="87" t="str">
        <f t="shared" si="60"/>
        <v>Qatar</v>
      </c>
      <c r="AG13" s="88">
        <f t="shared" si="61"/>
        <v>0</v>
      </c>
      <c r="AH13" s="88">
        <f t="shared" si="62"/>
        <v>0</v>
      </c>
      <c r="AI13" s="88">
        <f t="shared" si="63"/>
        <v>0</v>
      </c>
      <c r="AJ13" s="88">
        <f t="shared" si="64"/>
        <v>0</v>
      </c>
      <c r="AK13" s="88">
        <f t="shared" si="65"/>
        <v>0</v>
      </c>
      <c r="AL13" s="88">
        <f t="shared" si="66"/>
        <v>0</v>
      </c>
      <c r="AM13" s="88">
        <f t="shared" si="67"/>
        <v>0</v>
      </c>
      <c r="AN13" s="89">
        <f t="shared" si="68"/>
        <v>0</v>
      </c>
      <c r="AP13" s="52">
        <f t="shared" si="4"/>
        <v>9</v>
      </c>
      <c r="AQ13" s="54" t="str">
        <f>AF55</f>
        <v>Iraque</v>
      </c>
      <c r="AR13" s="42">
        <f t="shared" si="45"/>
        <v>0</v>
      </c>
      <c r="AS13" s="42">
        <f t="shared" si="46"/>
        <v>0</v>
      </c>
      <c r="AT13" s="42">
        <f t="shared" si="5"/>
        <v>0</v>
      </c>
      <c r="AU13" s="42">
        <f t="shared" si="6"/>
        <v>0</v>
      </c>
      <c r="AV13" s="42">
        <f t="shared" si="7"/>
        <v>0</v>
      </c>
      <c r="AW13" s="42">
        <f t="shared" si="8"/>
        <v>0</v>
      </c>
      <c r="AX13" s="42">
        <f t="shared" si="9"/>
        <v>0</v>
      </c>
      <c r="AY13" s="42">
        <f t="shared" si="47"/>
        <v>0</v>
      </c>
      <c r="AZ13" s="42" t="s">
        <v>69</v>
      </c>
      <c r="BA13" s="42" t="str">
        <f t="shared" si="48"/>
        <v>Iraque</v>
      </c>
      <c r="BB13" s="42">
        <f t="shared" si="10"/>
        <v>0</v>
      </c>
      <c r="BC13" s="42">
        <f t="shared" si="11"/>
        <v>0</v>
      </c>
      <c r="BD13" s="42">
        <f t="shared" si="12"/>
        <v>0</v>
      </c>
      <c r="BE13" s="42">
        <f t="shared" si="13"/>
        <v>8</v>
      </c>
      <c r="BF13" s="43">
        <v>9</v>
      </c>
      <c r="BG13" s="49"/>
      <c r="BI13" s="23">
        <v>9</v>
      </c>
      <c r="BJ13" s="87" t="str">
        <f t="shared" si="14"/>
        <v>Iraque</v>
      </c>
      <c r="BK13" s="88">
        <f t="shared" si="15"/>
        <v>0</v>
      </c>
      <c r="BL13" s="88">
        <f t="shared" si="16"/>
        <v>0</v>
      </c>
      <c r="BM13" s="88">
        <f t="shared" si="17"/>
        <v>0</v>
      </c>
      <c r="BN13" s="88">
        <f t="shared" si="18"/>
        <v>0</v>
      </c>
      <c r="BO13" s="88">
        <f t="shared" si="19"/>
        <v>0</v>
      </c>
      <c r="BP13" s="88">
        <f t="shared" si="20"/>
        <v>0</v>
      </c>
      <c r="BQ13" s="88">
        <f t="shared" si="21"/>
        <v>0</v>
      </c>
      <c r="BR13" s="89">
        <f t="shared" si="22"/>
        <v>0</v>
      </c>
    </row>
    <row r="14" spans="1:70" ht="15.75" thickBot="1" x14ac:dyDescent="0.3">
      <c r="A14" s="49"/>
      <c r="B14" s="105" t="s">
        <v>48</v>
      </c>
      <c r="C14" s="100">
        <v>46197</v>
      </c>
      <c r="D14" s="56" t="s">
        <v>46</v>
      </c>
      <c r="E14" s="90" t="str">
        <f>P12</f>
        <v>Bósnia</v>
      </c>
      <c r="F14" s="128"/>
      <c r="G14" s="91" t="s">
        <v>22</v>
      </c>
      <c r="H14" s="128"/>
      <c r="I14" s="118" t="str">
        <f>P13</f>
        <v>Qatar</v>
      </c>
      <c r="J14" s="57" t="str">
        <f t="shared" si="0"/>
        <v>empate</v>
      </c>
      <c r="K14" s="57" t="str">
        <f t="shared" si="1"/>
        <v/>
      </c>
      <c r="L14" s="57" t="str">
        <f t="shared" si="2"/>
        <v/>
      </c>
      <c r="M14" s="58" t="str">
        <f t="shared" si="3"/>
        <v>empate</v>
      </c>
      <c r="N14" s="59"/>
      <c r="O14" s="60">
        <f t="shared" si="49"/>
        <v>4</v>
      </c>
      <c r="P14" s="53" t="str">
        <f>Sorteios!F9</f>
        <v>Suiça</v>
      </c>
      <c r="Q14" s="57">
        <f t="shared" si="50"/>
        <v>0</v>
      </c>
      <c r="R14" s="57">
        <f t="shared" si="51"/>
        <v>0</v>
      </c>
      <c r="S14" s="42">
        <f t="shared" si="52"/>
        <v>0</v>
      </c>
      <c r="T14" s="42">
        <f t="shared" si="53"/>
        <v>0</v>
      </c>
      <c r="U14" s="42">
        <f t="shared" si="54"/>
        <v>0</v>
      </c>
      <c r="V14" s="57">
        <f>SUMIF(E:E,P14,F:F)+SUMIF(I:I,P14,H:H)</f>
        <v>0</v>
      </c>
      <c r="W14" s="57">
        <f>SUMIF(E:E,P14,H:H)+SUMIF(I:I,P14,F:F)</f>
        <v>0</v>
      </c>
      <c r="X14" s="57">
        <f t="shared" si="55"/>
        <v>0</v>
      </c>
      <c r="Y14" s="57">
        <f t="shared" si="56"/>
        <v>0</v>
      </c>
      <c r="Z14" s="57">
        <f t="shared" si="57"/>
        <v>0</v>
      </c>
      <c r="AA14" s="57">
        <f t="shared" si="58"/>
        <v>0</v>
      </c>
      <c r="AB14" s="57">
        <f t="shared" si="59"/>
        <v>3</v>
      </c>
      <c r="AC14" s="58">
        <v>4</v>
      </c>
      <c r="AD14" s="61"/>
      <c r="AE14" s="24">
        <v>4</v>
      </c>
      <c r="AF14" s="90" t="str">
        <f t="shared" si="60"/>
        <v>Suiça</v>
      </c>
      <c r="AG14" s="91">
        <f t="shared" si="61"/>
        <v>0</v>
      </c>
      <c r="AH14" s="91">
        <f t="shared" si="62"/>
        <v>0</v>
      </c>
      <c r="AI14" s="91">
        <f t="shared" si="63"/>
        <v>0</v>
      </c>
      <c r="AJ14" s="91">
        <f t="shared" si="64"/>
        <v>0</v>
      </c>
      <c r="AK14" s="91">
        <f t="shared" si="65"/>
        <v>0</v>
      </c>
      <c r="AL14" s="91">
        <f t="shared" si="66"/>
        <v>0</v>
      </c>
      <c r="AM14" s="91">
        <f t="shared" si="67"/>
        <v>0</v>
      </c>
      <c r="AN14" s="92">
        <f t="shared" si="68"/>
        <v>0</v>
      </c>
      <c r="AP14" s="52">
        <f t="shared" si="4"/>
        <v>10</v>
      </c>
      <c r="AQ14" s="54" t="str">
        <f>AF61</f>
        <v>Áustria</v>
      </c>
      <c r="AR14" s="42">
        <f t="shared" si="45"/>
        <v>0</v>
      </c>
      <c r="AS14" s="42">
        <f t="shared" si="46"/>
        <v>0</v>
      </c>
      <c r="AT14" s="42">
        <f t="shared" si="5"/>
        <v>0</v>
      </c>
      <c r="AU14" s="42">
        <f t="shared" si="6"/>
        <v>0</v>
      </c>
      <c r="AV14" s="42">
        <f t="shared" si="7"/>
        <v>0</v>
      </c>
      <c r="AW14" s="42">
        <f t="shared" si="8"/>
        <v>0</v>
      </c>
      <c r="AX14" s="42">
        <f t="shared" si="9"/>
        <v>0</v>
      </c>
      <c r="AY14" s="42">
        <f t="shared" si="47"/>
        <v>0</v>
      </c>
      <c r="AZ14" s="42" t="s">
        <v>42</v>
      </c>
      <c r="BA14" s="42" t="str">
        <f t="shared" si="48"/>
        <v>Áustria</v>
      </c>
      <c r="BB14" s="42">
        <f t="shared" si="10"/>
        <v>0</v>
      </c>
      <c r="BC14" s="42">
        <f t="shared" si="11"/>
        <v>0</v>
      </c>
      <c r="BD14" s="42">
        <f t="shared" si="12"/>
        <v>0</v>
      </c>
      <c r="BE14" s="42">
        <f t="shared" si="13"/>
        <v>9</v>
      </c>
      <c r="BF14" s="43">
        <v>10</v>
      </c>
      <c r="BG14" s="49"/>
      <c r="BI14" s="23">
        <v>10</v>
      </c>
      <c r="BJ14" s="87" t="str">
        <f t="shared" si="14"/>
        <v>Áustria</v>
      </c>
      <c r="BK14" s="88">
        <f t="shared" si="15"/>
        <v>0</v>
      </c>
      <c r="BL14" s="88">
        <f t="shared" si="16"/>
        <v>0</v>
      </c>
      <c r="BM14" s="88">
        <f t="shared" si="17"/>
        <v>0</v>
      </c>
      <c r="BN14" s="88">
        <f t="shared" si="18"/>
        <v>0</v>
      </c>
      <c r="BO14" s="88">
        <f t="shared" si="19"/>
        <v>0</v>
      </c>
      <c r="BP14" s="88">
        <f t="shared" si="20"/>
        <v>0</v>
      </c>
      <c r="BQ14" s="88">
        <f t="shared" si="21"/>
        <v>0</v>
      </c>
      <c r="BR14" s="89">
        <f t="shared" si="22"/>
        <v>0</v>
      </c>
    </row>
    <row r="15" spans="1:70" x14ac:dyDescent="0.25">
      <c r="A15" s="49"/>
      <c r="B15" s="106" t="s">
        <v>50</v>
      </c>
      <c r="C15" s="101">
        <v>46186</v>
      </c>
      <c r="D15" s="67" t="s">
        <v>51</v>
      </c>
      <c r="E15" s="119" t="str">
        <f>P17</f>
        <v>Brasil</v>
      </c>
      <c r="F15" s="129"/>
      <c r="G15" s="115" t="s">
        <v>22</v>
      </c>
      <c r="H15" s="129"/>
      <c r="I15" s="120" t="str">
        <f>P18</f>
        <v>Marrocos</v>
      </c>
      <c r="J15" s="63" t="str">
        <f t="shared" si="0"/>
        <v>empate</v>
      </c>
      <c r="K15" s="63" t="str">
        <f t="shared" si="1"/>
        <v/>
      </c>
      <c r="L15" s="63" t="str">
        <f t="shared" si="2"/>
        <v/>
      </c>
      <c r="M15" s="64" t="str">
        <f t="shared" si="3"/>
        <v>empate</v>
      </c>
      <c r="N15" s="65"/>
      <c r="O15" s="66"/>
      <c r="P15" s="46" t="s">
        <v>52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8"/>
      <c r="AE15" s="82" t="s">
        <v>52</v>
      </c>
      <c r="AF15" s="83"/>
      <c r="AG15" s="83"/>
      <c r="AH15" s="83"/>
      <c r="AI15" s="83"/>
      <c r="AJ15" s="83"/>
      <c r="AK15" s="83"/>
      <c r="AL15" s="83"/>
      <c r="AM15" s="83"/>
      <c r="AN15" s="84"/>
      <c r="AP15" s="52">
        <f t="shared" si="4"/>
        <v>11</v>
      </c>
      <c r="AQ15" s="54" t="str">
        <f>AF67</f>
        <v>Uzbequistão</v>
      </c>
      <c r="AR15" s="42">
        <f t="shared" si="45"/>
        <v>0</v>
      </c>
      <c r="AS15" s="42">
        <f t="shared" si="46"/>
        <v>0</v>
      </c>
      <c r="AT15" s="42">
        <f t="shared" si="5"/>
        <v>0</v>
      </c>
      <c r="AU15" s="42">
        <f t="shared" si="6"/>
        <v>0</v>
      </c>
      <c r="AV15" s="42">
        <f t="shared" si="7"/>
        <v>0</v>
      </c>
      <c r="AW15" s="42">
        <f t="shared" si="8"/>
        <v>0</v>
      </c>
      <c r="AX15" s="42">
        <f t="shared" si="9"/>
        <v>0</v>
      </c>
      <c r="AY15" s="42">
        <f t="shared" si="47"/>
        <v>0</v>
      </c>
      <c r="AZ15" s="42" t="s">
        <v>70</v>
      </c>
      <c r="BA15" s="42" t="str">
        <f t="shared" si="48"/>
        <v>Uzbequistão</v>
      </c>
      <c r="BB15" s="42">
        <f t="shared" si="10"/>
        <v>0</v>
      </c>
      <c r="BC15" s="42">
        <f t="shared" si="11"/>
        <v>0</v>
      </c>
      <c r="BD15" s="42">
        <f t="shared" si="12"/>
        <v>0</v>
      </c>
      <c r="BE15" s="42">
        <f t="shared" si="13"/>
        <v>10</v>
      </c>
      <c r="BF15" s="43">
        <v>11</v>
      </c>
      <c r="BG15" s="49"/>
      <c r="BI15" s="23">
        <v>11</v>
      </c>
      <c r="BJ15" s="87" t="str">
        <f t="shared" si="14"/>
        <v>Uzbequistão</v>
      </c>
      <c r="BK15" s="88">
        <f t="shared" si="15"/>
        <v>0</v>
      </c>
      <c r="BL15" s="88">
        <f t="shared" si="16"/>
        <v>0</v>
      </c>
      <c r="BM15" s="88">
        <f t="shared" si="17"/>
        <v>0</v>
      </c>
      <c r="BN15" s="88">
        <f t="shared" si="18"/>
        <v>0</v>
      </c>
      <c r="BO15" s="88">
        <f t="shared" si="19"/>
        <v>0</v>
      </c>
      <c r="BP15" s="88">
        <f t="shared" si="20"/>
        <v>0</v>
      </c>
      <c r="BQ15" s="88">
        <f t="shared" si="21"/>
        <v>0</v>
      </c>
      <c r="BR15" s="89">
        <f t="shared" si="22"/>
        <v>0</v>
      </c>
    </row>
    <row r="16" spans="1:70" ht="15.75" thickBot="1" x14ac:dyDescent="0.3">
      <c r="A16" s="49"/>
      <c r="B16" s="104" t="s">
        <v>50</v>
      </c>
      <c r="C16" s="99">
        <v>46186</v>
      </c>
      <c r="D16" s="40" t="s">
        <v>53</v>
      </c>
      <c r="E16" s="110" t="str">
        <f>P19</f>
        <v>Haiti</v>
      </c>
      <c r="F16" s="127"/>
      <c r="G16" s="88" t="s">
        <v>22</v>
      </c>
      <c r="H16" s="127"/>
      <c r="I16" s="111" t="str">
        <f>P20</f>
        <v>Escócia</v>
      </c>
      <c r="J16" s="42" t="str">
        <f t="shared" si="0"/>
        <v>empate</v>
      </c>
      <c r="K16" s="42" t="str">
        <f t="shared" si="1"/>
        <v/>
      </c>
      <c r="L16" s="42" t="str">
        <f t="shared" si="2"/>
        <v/>
      </c>
      <c r="M16" s="43" t="str">
        <f t="shared" si="3"/>
        <v>empate</v>
      </c>
      <c r="N16" s="50"/>
      <c r="O16" s="51" t="s">
        <v>25</v>
      </c>
      <c r="P16" s="18" t="s">
        <v>26</v>
      </c>
      <c r="Q16" s="42" t="s">
        <v>27</v>
      </c>
      <c r="R16" s="42" t="s">
        <v>28</v>
      </c>
      <c r="S16" s="42" t="s">
        <v>29</v>
      </c>
      <c r="T16" s="42" t="s">
        <v>30</v>
      </c>
      <c r="U16" s="42" t="s">
        <v>31</v>
      </c>
      <c r="V16" s="42" t="s">
        <v>32</v>
      </c>
      <c r="W16" s="42" t="s">
        <v>33</v>
      </c>
      <c r="X16" s="42" t="s">
        <v>34</v>
      </c>
      <c r="Y16" s="42" t="s">
        <v>35</v>
      </c>
      <c r="Z16" s="42" t="s">
        <v>36</v>
      </c>
      <c r="AA16" s="42" t="s">
        <v>37</v>
      </c>
      <c r="AB16" s="42" t="s">
        <v>38</v>
      </c>
      <c r="AC16" s="43" t="s">
        <v>39</v>
      </c>
      <c r="AD16" s="49"/>
      <c r="AE16" s="23" t="s">
        <v>40</v>
      </c>
      <c r="AF16" s="85" t="s">
        <v>17</v>
      </c>
      <c r="AG16" s="85" t="s">
        <v>41</v>
      </c>
      <c r="AH16" s="85" t="s">
        <v>42</v>
      </c>
      <c r="AI16" s="85" t="s">
        <v>43</v>
      </c>
      <c r="AJ16" s="85" t="s">
        <v>44</v>
      </c>
      <c r="AK16" s="85" t="s">
        <v>45</v>
      </c>
      <c r="AL16" s="85" t="s">
        <v>32</v>
      </c>
      <c r="AM16" s="85" t="s">
        <v>33</v>
      </c>
      <c r="AN16" s="86" t="s">
        <v>34</v>
      </c>
      <c r="AP16" s="52">
        <f t="shared" si="4"/>
        <v>12</v>
      </c>
      <c r="AQ16" s="54" t="str">
        <f>AF73</f>
        <v>Gana</v>
      </c>
      <c r="AR16" s="42">
        <f t="shared" si="45"/>
        <v>0</v>
      </c>
      <c r="AS16" s="42">
        <f t="shared" si="46"/>
        <v>0</v>
      </c>
      <c r="AT16" s="42">
        <f t="shared" si="5"/>
        <v>0</v>
      </c>
      <c r="AU16" s="42">
        <f t="shared" si="6"/>
        <v>0</v>
      </c>
      <c r="AV16" s="42">
        <f t="shared" si="7"/>
        <v>0</v>
      </c>
      <c r="AW16" s="42">
        <f t="shared" si="8"/>
        <v>0</v>
      </c>
      <c r="AX16" s="42">
        <f t="shared" si="9"/>
        <v>0</v>
      </c>
      <c r="AY16" s="42">
        <f t="shared" si="47"/>
        <v>0</v>
      </c>
      <c r="AZ16" s="42" t="s">
        <v>71</v>
      </c>
      <c r="BA16" s="42" t="str">
        <f t="shared" si="48"/>
        <v>Gana</v>
      </c>
      <c r="BB16" s="42">
        <f t="shared" si="10"/>
        <v>0</v>
      </c>
      <c r="BC16" s="42">
        <f t="shared" si="11"/>
        <v>0</v>
      </c>
      <c r="BD16" s="42">
        <f t="shared" si="12"/>
        <v>0</v>
      </c>
      <c r="BE16" s="42">
        <f t="shared" si="13"/>
        <v>11</v>
      </c>
      <c r="BF16" s="58">
        <v>12</v>
      </c>
      <c r="BG16" s="49"/>
      <c r="BI16" s="24">
        <v>12</v>
      </c>
      <c r="BJ16" s="90" t="str">
        <f t="shared" si="14"/>
        <v>Gana</v>
      </c>
      <c r="BK16" s="91">
        <f t="shared" si="15"/>
        <v>0</v>
      </c>
      <c r="BL16" s="91">
        <f t="shared" si="16"/>
        <v>0</v>
      </c>
      <c r="BM16" s="91">
        <f t="shared" si="17"/>
        <v>0</v>
      </c>
      <c r="BN16" s="91">
        <f t="shared" si="18"/>
        <v>0</v>
      </c>
      <c r="BO16" s="91">
        <f t="shared" si="19"/>
        <v>0</v>
      </c>
      <c r="BP16" s="91">
        <f t="shared" si="20"/>
        <v>0</v>
      </c>
      <c r="BQ16" s="91">
        <f t="shared" si="21"/>
        <v>0</v>
      </c>
      <c r="BR16" s="92">
        <f t="shared" si="22"/>
        <v>0</v>
      </c>
    </row>
    <row r="17" spans="1:64" x14ac:dyDescent="0.25">
      <c r="A17" s="49"/>
      <c r="B17" s="104" t="s">
        <v>50</v>
      </c>
      <c r="C17" s="99">
        <v>46192</v>
      </c>
      <c r="D17" s="40" t="s">
        <v>21</v>
      </c>
      <c r="E17" s="110" t="str">
        <f>P17</f>
        <v>Brasil</v>
      </c>
      <c r="F17" s="127"/>
      <c r="G17" s="88" t="s">
        <v>22</v>
      </c>
      <c r="H17" s="127"/>
      <c r="I17" s="111" t="str">
        <f>P19</f>
        <v>Haiti</v>
      </c>
      <c r="J17" s="42" t="str">
        <f t="shared" si="0"/>
        <v>empate</v>
      </c>
      <c r="K17" s="42" t="str">
        <f t="shared" si="1"/>
        <v/>
      </c>
      <c r="L17" s="42" t="str">
        <f t="shared" si="2"/>
        <v/>
      </c>
      <c r="M17" s="43" t="str">
        <f t="shared" si="3"/>
        <v>empate</v>
      </c>
      <c r="N17" s="50"/>
      <c r="O17" s="51">
        <f>RANK(Q17,$Q$17:$Q$20)+SUM(Y17:AB17)</f>
        <v>1</v>
      </c>
      <c r="P17" s="53" t="str">
        <f>Sorteios!I6</f>
        <v>Brasil</v>
      </c>
      <c r="Q17" s="42">
        <f>(S17*3)+(T17*1)</f>
        <v>0</v>
      </c>
      <c r="R17" s="42">
        <f>SUM(S17:U17)</f>
        <v>0</v>
      </c>
      <c r="S17" s="42">
        <f>COUNTIF(J:J,P17)</f>
        <v>0</v>
      </c>
      <c r="T17" s="42">
        <f>COUNTIF(K:K,P17)+COUNTIF(L:L,P17)</f>
        <v>0</v>
      </c>
      <c r="U17" s="42">
        <f>COUNTIF(M:M,P17)</f>
        <v>0</v>
      </c>
      <c r="V17" s="42">
        <f>SUMIF(E:E,P17,F:F)+SUMIF(I:I,P17,H:H)</f>
        <v>0</v>
      </c>
      <c r="W17" s="42">
        <f>SUMIF(E:E,P17,H:H)+SUMIF(I:I,P17,F:F)</f>
        <v>0</v>
      </c>
      <c r="X17" s="42">
        <f>V17-W17</f>
        <v>0</v>
      </c>
      <c r="Y17" s="42">
        <f>SUMPRODUCT(($Q$17:$Q$20=Q17)*($X$17:$X$20&gt;X17))</f>
        <v>0</v>
      </c>
      <c r="Z17" s="42">
        <f>SUMPRODUCT(($Q$17:$Q$20=Q17)*($X$17:$X$20=X17)*($V$17:$V$20&gt;V17))</f>
        <v>0</v>
      </c>
      <c r="AA17" s="42">
        <f>SUMPRODUCT(($Q$17:$Q$20=Q17)*($X$17:$X$20=X17)*($V$17:$V$20=V17)*($W$17:$W$20&gt;W17))</f>
        <v>0</v>
      </c>
      <c r="AB17" s="42">
        <f>SUMPRODUCT(($Q$17:$Q$20=Q17)*($X$17:$X$20=X17)*($V$17:$V$20=V17)*($W$17:$W$20=W17)*($AC$17:$AC$20&lt;AC17))</f>
        <v>0</v>
      </c>
      <c r="AC17" s="43">
        <v>1</v>
      </c>
      <c r="AD17" s="49"/>
      <c r="AE17" s="23">
        <v>1</v>
      </c>
      <c r="AF17" s="87" t="str">
        <f>VLOOKUP($AE17,$O$17:$X$20,2,FALSE)</f>
        <v>Brasil</v>
      </c>
      <c r="AG17" s="88">
        <f>VLOOKUP($AE17,$O$17:$X$20,3,FALSE)</f>
        <v>0</v>
      </c>
      <c r="AH17" s="88">
        <f>VLOOKUP($AE17,$O$17:$X$20,4,FALSE)</f>
        <v>0</v>
      </c>
      <c r="AI17" s="88">
        <f>VLOOKUP($AE17,$O$17:$X$20,5,FALSE)</f>
        <v>0</v>
      </c>
      <c r="AJ17" s="88">
        <f>VLOOKUP($AE17,$O$17:$X$20,6,FALSE)</f>
        <v>0</v>
      </c>
      <c r="AK17" s="88">
        <f>VLOOKUP($AE17,$O$17:$X$20,7,FALSE)</f>
        <v>0</v>
      </c>
      <c r="AL17" s="88">
        <f>VLOOKUP($AE17,$O$17:$X$20,8,FALSE)</f>
        <v>0</v>
      </c>
      <c r="AM17" s="88">
        <f>VLOOKUP($AE17,$O$17:$X$20,9,FALSE)</f>
        <v>0</v>
      </c>
      <c r="AN17" s="89">
        <f>VLOOKUP($AE17,$O$17:$X$20,10,FALSE)</f>
        <v>0</v>
      </c>
      <c r="BL17" s="176">
        <f>SUM(BL5:BL16)</f>
        <v>0</v>
      </c>
    </row>
    <row r="18" spans="1:64" x14ac:dyDescent="0.25">
      <c r="A18" s="49"/>
      <c r="B18" s="104" t="s">
        <v>50</v>
      </c>
      <c r="C18" s="99">
        <v>46192</v>
      </c>
      <c r="D18" s="40" t="s">
        <v>24</v>
      </c>
      <c r="E18" s="110" t="str">
        <f>P20</f>
        <v>Escócia</v>
      </c>
      <c r="F18" s="127"/>
      <c r="G18" s="88" t="s">
        <v>22</v>
      </c>
      <c r="H18" s="127"/>
      <c r="I18" s="111" t="str">
        <f>P18</f>
        <v>Marrocos</v>
      </c>
      <c r="J18" s="42" t="str">
        <f t="shared" si="0"/>
        <v>empate</v>
      </c>
      <c r="K18" s="42" t="str">
        <f t="shared" si="1"/>
        <v/>
      </c>
      <c r="L18" s="42" t="str">
        <f t="shared" si="2"/>
        <v/>
      </c>
      <c r="M18" s="43" t="str">
        <f t="shared" si="3"/>
        <v>empate</v>
      </c>
      <c r="N18" s="50"/>
      <c r="O18" s="51">
        <f t="shared" ref="O18:O20" si="69">RANK(Q18,$Q$17:$Q$20)+SUM(Y18:AB18)</f>
        <v>2</v>
      </c>
      <c r="P18" s="53" t="str">
        <f>Sorteios!I7</f>
        <v>Marrocos</v>
      </c>
      <c r="Q18" s="42">
        <f t="shared" ref="Q18:Q20" si="70">(S18*3)+(T18*1)</f>
        <v>0</v>
      </c>
      <c r="R18" s="42">
        <f t="shared" ref="R18:R20" si="71">SUM(S18:U18)</f>
        <v>0</v>
      </c>
      <c r="S18" s="42">
        <f t="shared" ref="S18:S20" si="72">COUNTIF(J:J,P18)</f>
        <v>0</v>
      </c>
      <c r="T18" s="42">
        <f t="shared" ref="T18:T20" si="73">COUNTIF(K:K,P18)+COUNTIF(L:L,P18)</f>
        <v>0</v>
      </c>
      <c r="U18" s="42">
        <f t="shared" ref="U18:U20" si="74">COUNTIF(M:M,P18)</f>
        <v>0</v>
      </c>
      <c r="V18" s="42">
        <f>SUMIF(E:E,P18,F:F)+SUMIF(I:I,P18,H:H)</f>
        <v>0</v>
      </c>
      <c r="W18" s="42">
        <f>SUMIF(E:E,P18,H:H)+SUMIF(I:I,P18,F:F)</f>
        <v>0</v>
      </c>
      <c r="X18" s="42">
        <f t="shared" ref="X18:X20" si="75">V18-W18</f>
        <v>0</v>
      </c>
      <c r="Y18" s="42">
        <f t="shared" ref="Y18:Y20" si="76">SUMPRODUCT(($Q$17:$Q$20=Q18)*($X$17:$X$20&gt;X18))</f>
        <v>0</v>
      </c>
      <c r="Z18" s="42">
        <f t="shared" ref="Z18:Z20" si="77">SUMPRODUCT(($Q$17:$Q$20=Q18)*($X$17:$X$20=X18)*($V$17:$V$20&gt;V18))</f>
        <v>0</v>
      </c>
      <c r="AA18" s="42">
        <f t="shared" ref="AA18:AA20" si="78">SUMPRODUCT(($Q$17:$Q$20=Q18)*($X$17:$X$20=X18)*($V$17:$V$20=V18)*($W$17:$W$20&gt;W18))</f>
        <v>0</v>
      </c>
      <c r="AB18" s="42">
        <f t="shared" ref="AB18:AB20" si="79">SUMPRODUCT(($Q$17:$Q$20=Q18)*($X$17:$X$20=X18)*($V$17:$V$20=V18)*($W$17:$W$20=W18)*($AC$17:$AC$20&lt;AC18))</f>
        <v>1</v>
      </c>
      <c r="AC18" s="43">
        <v>2</v>
      </c>
      <c r="AD18" s="49"/>
      <c r="AE18" s="23">
        <v>2</v>
      </c>
      <c r="AF18" s="87" t="str">
        <f t="shared" ref="AF18:AF20" si="80">VLOOKUP($AE18,$O$17:$X$20,2,FALSE)</f>
        <v>Marrocos</v>
      </c>
      <c r="AG18" s="88">
        <f t="shared" ref="AG18:AG20" si="81">VLOOKUP($AE18,$O$17:$X$20,3,FALSE)</f>
        <v>0</v>
      </c>
      <c r="AH18" s="88">
        <f t="shared" ref="AH18:AH20" si="82">VLOOKUP($AE18,$O$17:$X$20,4,FALSE)</f>
        <v>0</v>
      </c>
      <c r="AI18" s="88">
        <f t="shared" ref="AI18:AI20" si="83">VLOOKUP($AE18,$O$17:$X$20,5,FALSE)</f>
        <v>0</v>
      </c>
      <c r="AJ18" s="88">
        <f t="shared" ref="AJ18:AJ20" si="84">VLOOKUP($AE18,$O$17:$X$20,6,FALSE)</f>
        <v>0</v>
      </c>
      <c r="AK18" s="88">
        <f t="shared" ref="AK18:AK20" si="85">VLOOKUP($AE18,$O$17:$X$20,7,FALSE)</f>
        <v>0</v>
      </c>
      <c r="AL18" s="88">
        <f t="shared" ref="AL18:AL20" si="86">VLOOKUP($AE18,$O$17:$X$20,8,FALSE)</f>
        <v>0</v>
      </c>
      <c r="AM18" s="88">
        <f t="shared" ref="AM18:AM20" si="87">VLOOKUP($AE18,$O$17:$X$20,9,FALSE)</f>
        <v>0</v>
      </c>
      <c r="AN18" s="89">
        <f t="shared" ref="AN18:AN20" si="88">VLOOKUP($AE18,$O$17:$X$20,10,FALSE)</f>
        <v>0</v>
      </c>
    </row>
    <row r="19" spans="1:64" x14ac:dyDescent="0.25">
      <c r="A19" s="49"/>
      <c r="B19" s="104" t="s">
        <v>50</v>
      </c>
      <c r="C19" s="99">
        <v>46197</v>
      </c>
      <c r="D19" s="40" t="s">
        <v>47</v>
      </c>
      <c r="E19" s="110" t="str">
        <f>P20</f>
        <v>Escócia</v>
      </c>
      <c r="F19" s="127"/>
      <c r="G19" s="88" t="s">
        <v>22</v>
      </c>
      <c r="H19" s="127"/>
      <c r="I19" s="111" t="str">
        <f>P17</f>
        <v>Brasil</v>
      </c>
      <c r="J19" s="42" t="str">
        <f t="shared" si="0"/>
        <v>empate</v>
      </c>
      <c r="K19" s="42" t="str">
        <f t="shared" si="1"/>
        <v/>
      </c>
      <c r="L19" s="42" t="str">
        <f t="shared" si="2"/>
        <v/>
      </c>
      <c r="M19" s="43" t="str">
        <f t="shared" si="3"/>
        <v>empate</v>
      </c>
      <c r="N19" s="50"/>
      <c r="O19" s="51">
        <f t="shared" si="69"/>
        <v>3</v>
      </c>
      <c r="P19" s="53" t="str">
        <f>Sorteios!I8</f>
        <v>Haiti</v>
      </c>
      <c r="Q19" s="42">
        <f t="shared" si="70"/>
        <v>0</v>
      </c>
      <c r="R19" s="42">
        <f t="shared" si="71"/>
        <v>0</v>
      </c>
      <c r="S19" s="42">
        <f t="shared" si="72"/>
        <v>0</v>
      </c>
      <c r="T19" s="42">
        <f t="shared" si="73"/>
        <v>0</v>
      </c>
      <c r="U19" s="42">
        <f t="shared" si="74"/>
        <v>0</v>
      </c>
      <c r="V19" s="42">
        <f>SUMIF(E:E,P19,F:F)+SUMIF(I:I,P19,H:H)</f>
        <v>0</v>
      </c>
      <c r="W19" s="42">
        <f>SUMIF(E:E,P19,H:H)+SUMIF(I:I,P19,F:F)</f>
        <v>0</v>
      </c>
      <c r="X19" s="42">
        <f t="shared" si="75"/>
        <v>0</v>
      </c>
      <c r="Y19" s="42">
        <f t="shared" si="76"/>
        <v>0</v>
      </c>
      <c r="Z19" s="42">
        <f t="shared" si="77"/>
        <v>0</v>
      </c>
      <c r="AA19" s="42">
        <f t="shared" si="78"/>
        <v>0</v>
      </c>
      <c r="AB19" s="42">
        <f t="shared" si="79"/>
        <v>2</v>
      </c>
      <c r="AC19" s="43">
        <v>3</v>
      </c>
      <c r="AD19" s="49"/>
      <c r="AE19" s="23">
        <v>3</v>
      </c>
      <c r="AF19" s="87" t="str">
        <f t="shared" si="80"/>
        <v>Haiti</v>
      </c>
      <c r="AG19" s="88">
        <f t="shared" si="81"/>
        <v>0</v>
      </c>
      <c r="AH19" s="88">
        <f t="shared" si="82"/>
        <v>0</v>
      </c>
      <c r="AI19" s="88">
        <f t="shared" si="83"/>
        <v>0</v>
      </c>
      <c r="AJ19" s="88">
        <f t="shared" si="84"/>
        <v>0</v>
      </c>
      <c r="AK19" s="88">
        <f t="shared" si="85"/>
        <v>0</v>
      </c>
      <c r="AL19" s="88">
        <f t="shared" si="86"/>
        <v>0</v>
      </c>
      <c r="AM19" s="88">
        <f t="shared" si="87"/>
        <v>0</v>
      </c>
      <c r="AN19" s="89">
        <f t="shared" si="88"/>
        <v>0</v>
      </c>
    </row>
    <row r="20" spans="1:64" ht="15.75" thickBot="1" x14ac:dyDescent="0.3">
      <c r="A20" s="49"/>
      <c r="B20" s="105" t="s">
        <v>50</v>
      </c>
      <c r="C20" s="100">
        <v>46197</v>
      </c>
      <c r="D20" s="55" t="s">
        <v>47</v>
      </c>
      <c r="E20" s="112" t="str">
        <f>P18</f>
        <v>Marrocos</v>
      </c>
      <c r="F20" s="128"/>
      <c r="G20" s="91" t="s">
        <v>22</v>
      </c>
      <c r="H20" s="128"/>
      <c r="I20" s="113" t="str">
        <f>P19</f>
        <v>Haiti</v>
      </c>
      <c r="J20" s="57" t="str">
        <f t="shared" si="0"/>
        <v>empate</v>
      </c>
      <c r="K20" s="57" t="str">
        <f t="shared" si="1"/>
        <v/>
      </c>
      <c r="L20" s="57" t="str">
        <f t="shared" si="2"/>
        <v/>
      </c>
      <c r="M20" s="58" t="str">
        <f t="shared" si="3"/>
        <v>empate</v>
      </c>
      <c r="N20" s="59"/>
      <c r="O20" s="60">
        <f t="shared" si="69"/>
        <v>4</v>
      </c>
      <c r="P20" s="53" t="str">
        <f>Sorteios!I9</f>
        <v>Escócia</v>
      </c>
      <c r="Q20" s="57">
        <f t="shared" si="70"/>
        <v>0</v>
      </c>
      <c r="R20" s="57">
        <f t="shared" si="71"/>
        <v>0</v>
      </c>
      <c r="S20" s="42">
        <f t="shared" si="72"/>
        <v>0</v>
      </c>
      <c r="T20" s="42">
        <f t="shared" si="73"/>
        <v>0</v>
      </c>
      <c r="U20" s="42">
        <f t="shared" si="74"/>
        <v>0</v>
      </c>
      <c r="V20" s="57">
        <f>SUMIF(E:E,P20,F:F)+SUMIF(I:I,P20,H:H)</f>
        <v>0</v>
      </c>
      <c r="W20" s="57">
        <f>SUMIF(E:E,P20,H:H)+SUMIF(I:I,P20,F:F)</f>
        <v>0</v>
      </c>
      <c r="X20" s="57">
        <f t="shared" si="75"/>
        <v>0</v>
      </c>
      <c r="Y20" s="57">
        <f t="shared" si="76"/>
        <v>0</v>
      </c>
      <c r="Z20" s="57">
        <f t="shared" si="77"/>
        <v>0</v>
      </c>
      <c r="AA20" s="57">
        <f t="shared" si="78"/>
        <v>0</v>
      </c>
      <c r="AB20" s="57">
        <f t="shared" si="79"/>
        <v>3</v>
      </c>
      <c r="AC20" s="58">
        <v>4</v>
      </c>
      <c r="AD20" s="61"/>
      <c r="AE20" s="24">
        <v>4</v>
      </c>
      <c r="AF20" s="90" t="str">
        <f t="shared" si="80"/>
        <v>Escócia</v>
      </c>
      <c r="AG20" s="91">
        <f t="shared" si="81"/>
        <v>0</v>
      </c>
      <c r="AH20" s="91">
        <f t="shared" si="82"/>
        <v>0</v>
      </c>
      <c r="AI20" s="91">
        <f t="shared" si="83"/>
        <v>0</v>
      </c>
      <c r="AJ20" s="91">
        <f t="shared" si="84"/>
        <v>0</v>
      </c>
      <c r="AK20" s="91">
        <f t="shared" si="85"/>
        <v>0</v>
      </c>
      <c r="AL20" s="91">
        <f t="shared" si="86"/>
        <v>0</v>
      </c>
      <c r="AM20" s="91">
        <f t="shared" si="87"/>
        <v>0</v>
      </c>
      <c r="AN20" s="92">
        <f t="shared" si="88"/>
        <v>0</v>
      </c>
      <c r="AP20" s="17">
        <v>1</v>
      </c>
      <c r="AQ20" s="17" t="str">
        <f>VLOOKUP($BI5,$AP$5:$AZ$16,11,FALSE)</f>
        <v>A</v>
      </c>
      <c r="AR20" s="17">
        <f>CODE(AQ20)</f>
        <v>65</v>
      </c>
    </row>
    <row r="21" spans="1:64" x14ac:dyDescent="0.25">
      <c r="A21" s="49"/>
      <c r="B21" s="106" t="s">
        <v>45</v>
      </c>
      <c r="C21" s="101">
        <v>46185</v>
      </c>
      <c r="D21" s="62" t="s">
        <v>54</v>
      </c>
      <c r="E21" s="114" t="str">
        <f>P23</f>
        <v>Estados Unidos</v>
      </c>
      <c r="F21" s="129"/>
      <c r="G21" s="115" t="s">
        <v>22</v>
      </c>
      <c r="H21" s="129"/>
      <c r="I21" s="116" t="str">
        <f>P24</f>
        <v>Paraguai</v>
      </c>
      <c r="J21" s="63" t="str">
        <f t="shared" si="0"/>
        <v>empate</v>
      </c>
      <c r="K21" s="63" t="str">
        <f t="shared" si="1"/>
        <v/>
      </c>
      <c r="L21" s="63" t="str">
        <f t="shared" si="2"/>
        <v/>
      </c>
      <c r="M21" s="64" t="str">
        <f t="shared" si="3"/>
        <v>empate</v>
      </c>
      <c r="N21" s="68"/>
      <c r="O21" s="66"/>
      <c r="P21" s="46" t="s">
        <v>55</v>
      </c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8"/>
      <c r="AE21" s="82" t="s">
        <v>55</v>
      </c>
      <c r="AF21" s="83"/>
      <c r="AG21" s="83"/>
      <c r="AH21" s="83"/>
      <c r="AI21" s="83"/>
      <c r="AJ21" s="83"/>
      <c r="AK21" s="83"/>
      <c r="AL21" s="83"/>
      <c r="AM21" s="83"/>
      <c r="AN21" s="84"/>
      <c r="AP21" s="17">
        <v>2</v>
      </c>
      <c r="AQ21" s="17" t="str">
        <f t="shared" ref="AQ21:AQ27" si="89">VLOOKUP($BI6,$AP$5:$AZ$16,11,FALSE)</f>
        <v>B</v>
      </c>
      <c r="AR21" s="17">
        <f t="shared" ref="AR21:AR27" si="90">CODE(AQ21)</f>
        <v>66</v>
      </c>
    </row>
    <row r="22" spans="1:64" x14ac:dyDescent="0.25">
      <c r="A22" s="49"/>
      <c r="B22" s="104" t="s">
        <v>45</v>
      </c>
      <c r="C22" s="99">
        <v>46186</v>
      </c>
      <c r="D22" s="41" t="s">
        <v>56</v>
      </c>
      <c r="E22" s="87" t="str">
        <f>P25</f>
        <v>Austrália</v>
      </c>
      <c r="F22" s="127"/>
      <c r="G22" s="88" t="s">
        <v>22</v>
      </c>
      <c r="H22" s="127"/>
      <c r="I22" s="117" t="str">
        <f>P26</f>
        <v>Turquia</v>
      </c>
      <c r="J22" s="42" t="str">
        <f t="shared" si="0"/>
        <v>empate</v>
      </c>
      <c r="K22" s="42" t="str">
        <f t="shared" si="1"/>
        <v/>
      </c>
      <c r="L22" s="42" t="str">
        <f t="shared" si="2"/>
        <v/>
      </c>
      <c r="M22" s="43" t="str">
        <f t="shared" si="3"/>
        <v>empate</v>
      </c>
      <c r="N22" s="49"/>
      <c r="O22" s="51" t="s">
        <v>25</v>
      </c>
      <c r="P22" s="18" t="s">
        <v>26</v>
      </c>
      <c r="Q22" s="42" t="s">
        <v>27</v>
      </c>
      <c r="R22" s="42" t="s">
        <v>28</v>
      </c>
      <c r="S22" s="42" t="s">
        <v>29</v>
      </c>
      <c r="T22" s="42" t="s">
        <v>30</v>
      </c>
      <c r="U22" s="42" t="s">
        <v>31</v>
      </c>
      <c r="V22" s="42" t="s">
        <v>32</v>
      </c>
      <c r="W22" s="42" t="s">
        <v>33</v>
      </c>
      <c r="X22" s="42" t="s">
        <v>34</v>
      </c>
      <c r="Y22" s="42" t="s">
        <v>35</v>
      </c>
      <c r="Z22" s="42" t="s">
        <v>36</v>
      </c>
      <c r="AA22" s="42" t="s">
        <v>37</v>
      </c>
      <c r="AB22" s="42" t="s">
        <v>38</v>
      </c>
      <c r="AC22" s="43" t="s">
        <v>39</v>
      </c>
      <c r="AD22" s="49"/>
      <c r="AE22" s="23" t="s">
        <v>40</v>
      </c>
      <c r="AF22" s="85" t="s">
        <v>17</v>
      </c>
      <c r="AG22" s="85" t="s">
        <v>41</v>
      </c>
      <c r="AH22" s="85" t="s">
        <v>42</v>
      </c>
      <c r="AI22" s="85" t="s">
        <v>43</v>
      </c>
      <c r="AJ22" s="85" t="s">
        <v>44</v>
      </c>
      <c r="AK22" s="85" t="s">
        <v>45</v>
      </c>
      <c r="AL22" s="85" t="s">
        <v>32</v>
      </c>
      <c r="AM22" s="85" t="s">
        <v>33</v>
      </c>
      <c r="AN22" s="86" t="s">
        <v>34</v>
      </c>
      <c r="AP22" s="17">
        <v>3</v>
      </c>
      <c r="AQ22" s="17" t="str">
        <f t="shared" si="89"/>
        <v>C</v>
      </c>
      <c r="AR22" s="17">
        <f t="shared" si="90"/>
        <v>67</v>
      </c>
    </row>
    <row r="23" spans="1:64" x14ac:dyDescent="0.25">
      <c r="A23" s="49"/>
      <c r="B23" s="104" t="s">
        <v>45</v>
      </c>
      <c r="C23" s="99">
        <v>46192</v>
      </c>
      <c r="D23" s="41" t="s">
        <v>46</v>
      </c>
      <c r="E23" s="87" t="str">
        <f>P23</f>
        <v>Estados Unidos</v>
      </c>
      <c r="F23" s="127"/>
      <c r="G23" s="88" t="s">
        <v>22</v>
      </c>
      <c r="H23" s="127"/>
      <c r="I23" s="117" t="str">
        <f>P25</f>
        <v>Austrália</v>
      </c>
      <c r="J23" s="42" t="str">
        <f t="shared" si="0"/>
        <v>empate</v>
      </c>
      <c r="K23" s="42" t="str">
        <f t="shared" si="1"/>
        <v/>
      </c>
      <c r="L23" s="42" t="str">
        <f t="shared" si="2"/>
        <v/>
      </c>
      <c r="M23" s="43" t="str">
        <f t="shared" si="3"/>
        <v>empate</v>
      </c>
      <c r="N23" s="49"/>
      <c r="O23" s="51">
        <f>RANK(Q23,$Q$23:$Q$26)+SUM(Y23:AB23)</f>
        <v>1</v>
      </c>
      <c r="P23" s="53" t="str">
        <f>Sorteios!C14</f>
        <v>Estados Unidos</v>
      </c>
      <c r="Q23" s="42">
        <f>(S23*3)+(T23*1)</f>
        <v>0</v>
      </c>
      <c r="R23" s="42">
        <f>SUM(S23:U23)</f>
        <v>0</v>
      </c>
      <c r="S23" s="42">
        <f>COUNTIF(J:J,P23)</f>
        <v>0</v>
      </c>
      <c r="T23" s="42">
        <f>COUNTIF(K:K,P23)+COUNTIF(L:L,P23)</f>
        <v>0</v>
      </c>
      <c r="U23" s="42">
        <f>COUNTIF(M:M,P23)</f>
        <v>0</v>
      </c>
      <c r="V23" s="42">
        <f>SUMIF(E:E,P23,F:F)+SUMIF(I:I,P23,H:H)</f>
        <v>0</v>
      </c>
      <c r="W23" s="42">
        <f>SUMIF(E:E,P23,H:H)+SUMIF(I:I,P23,F:F)</f>
        <v>0</v>
      </c>
      <c r="X23" s="42">
        <f>V23-W23</f>
        <v>0</v>
      </c>
      <c r="Y23" s="42">
        <f>SUMPRODUCT(($Q$23:$Q$26=Q23)*($X$23:$X$26&gt;X23))</f>
        <v>0</v>
      </c>
      <c r="Z23" s="42">
        <f>SUMPRODUCT(($Q$23:$Q$26=Q23)*($X$23:$X$26=X23)*($V$23:$V$26&gt;V23))</f>
        <v>0</v>
      </c>
      <c r="AA23" s="42">
        <f>SUMPRODUCT(($Q$23:$Q$26=Q23)*($X$23:$X$26=X23)*($V$23:$V$26=V23)*($W$23:$W$26&gt;W23))</f>
        <v>0</v>
      </c>
      <c r="AB23" s="42">
        <f>SUMPRODUCT(($Q$23:$Q$26=Q23)*($X$23:$X$26=X23)*($V$23:$V$26=V23)*($W$23:$W$26=W23)*($AC$23:$AC$26&lt;AC23))</f>
        <v>0</v>
      </c>
      <c r="AC23" s="43">
        <v>1</v>
      </c>
      <c r="AD23" s="49"/>
      <c r="AE23" s="23">
        <v>1</v>
      </c>
      <c r="AF23" s="87" t="str">
        <f>VLOOKUP($AE23,$O$23:$X$26,2,FALSE)</f>
        <v>Estados Unidos</v>
      </c>
      <c r="AG23" s="88">
        <f>VLOOKUP($AE23,$O$23:$X$26,3,FALSE)</f>
        <v>0</v>
      </c>
      <c r="AH23" s="88">
        <f>VLOOKUP($AE23,$O$23:$X$26,4,FALSE)</f>
        <v>0</v>
      </c>
      <c r="AI23" s="88">
        <f>VLOOKUP($AE23,$O$23:$X$26,5,FALSE)</f>
        <v>0</v>
      </c>
      <c r="AJ23" s="88">
        <f>VLOOKUP($AE23,$O$23:$X$26,6,FALSE)</f>
        <v>0</v>
      </c>
      <c r="AK23" s="88">
        <f>VLOOKUP($AE23,$O$23:$X$26,7,FALSE)</f>
        <v>0</v>
      </c>
      <c r="AL23" s="88">
        <f>VLOOKUP($AE23,$O$23:$X$26,8,FALSE)</f>
        <v>0</v>
      </c>
      <c r="AM23" s="88">
        <f>VLOOKUP($AE23,$O$23:$X$26,9,FALSE)</f>
        <v>0</v>
      </c>
      <c r="AN23" s="89">
        <f>VLOOKUP($AE23,$O$23:$X$26,10,FALSE)</f>
        <v>0</v>
      </c>
      <c r="AP23" s="17">
        <v>4</v>
      </c>
      <c r="AQ23" s="17" t="str">
        <f t="shared" si="89"/>
        <v>D</v>
      </c>
      <c r="AR23" s="17">
        <f t="shared" si="90"/>
        <v>68</v>
      </c>
    </row>
    <row r="24" spans="1:64" x14ac:dyDescent="0.25">
      <c r="A24" s="49"/>
      <c r="B24" s="104" t="s">
        <v>45</v>
      </c>
      <c r="C24" s="99">
        <v>46192</v>
      </c>
      <c r="D24" s="41" t="s">
        <v>21</v>
      </c>
      <c r="E24" s="87" t="str">
        <f>P26</f>
        <v>Turquia</v>
      </c>
      <c r="F24" s="127"/>
      <c r="G24" s="88" t="s">
        <v>22</v>
      </c>
      <c r="H24" s="127"/>
      <c r="I24" s="117" t="str">
        <f>P24</f>
        <v>Paraguai</v>
      </c>
      <c r="J24" s="42" t="str">
        <f t="shared" si="0"/>
        <v>empate</v>
      </c>
      <c r="K24" s="42" t="str">
        <f t="shared" si="1"/>
        <v/>
      </c>
      <c r="L24" s="42" t="str">
        <f t="shared" si="2"/>
        <v/>
      </c>
      <c r="M24" s="43" t="str">
        <f t="shared" si="3"/>
        <v>empate</v>
      </c>
      <c r="N24" s="49"/>
      <c r="O24" s="51">
        <f t="shared" ref="O24:O26" si="91">RANK(Q24,$Q$23:$Q$26)+SUM(Y24:AB24)</f>
        <v>2</v>
      </c>
      <c r="P24" s="53" t="str">
        <f>Sorteios!C15</f>
        <v>Paraguai</v>
      </c>
      <c r="Q24" s="42">
        <f t="shared" ref="Q24:Q26" si="92">(S24*3)+(T24*1)</f>
        <v>0</v>
      </c>
      <c r="R24" s="42">
        <f t="shared" ref="R24:R26" si="93">SUM(S24:U24)</f>
        <v>0</v>
      </c>
      <c r="S24" s="42">
        <f t="shared" ref="S24:S26" si="94">COUNTIF(J:J,P24)</f>
        <v>0</v>
      </c>
      <c r="T24" s="42">
        <f t="shared" ref="T24:T26" si="95">COUNTIF(K:K,P24)+COUNTIF(L:L,P24)</f>
        <v>0</v>
      </c>
      <c r="U24" s="42">
        <f t="shared" ref="U24:U26" si="96">COUNTIF(M:M,P24)</f>
        <v>0</v>
      </c>
      <c r="V24" s="42">
        <f>SUMIF(E:E,P24,F:F)+SUMIF(I:I,P24,H:H)</f>
        <v>0</v>
      </c>
      <c r="W24" s="42">
        <f>SUMIF(E:E,P24,H:H)+SUMIF(I:I,P24,F:F)</f>
        <v>0</v>
      </c>
      <c r="X24" s="42">
        <f t="shared" ref="X24:X26" si="97">V24-W24</f>
        <v>0</v>
      </c>
      <c r="Y24" s="42">
        <f t="shared" ref="Y24:Y26" si="98">SUMPRODUCT(($Q$23:$Q$26=Q24)*($X$23:$X$26&gt;X24))</f>
        <v>0</v>
      </c>
      <c r="Z24" s="42">
        <f t="shared" ref="Z24:Z26" si="99">SUMPRODUCT(($Q$23:$Q$26=Q24)*($X$23:$X$26=X24)*($V$23:$V$26&gt;V24))</f>
        <v>0</v>
      </c>
      <c r="AA24" s="42">
        <f t="shared" ref="AA24:AA26" si="100">SUMPRODUCT(($Q$23:$Q$26=Q24)*($X$23:$X$26=X24)*($V$23:$V$26=V24)*($W$23:$W$26&gt;W24))</f>
        <v>0</v>
      </c>
      <c r="AB24" s="42">
        <f t="shared" ref="AB24:AB26" si="101">SUMPRODUCT(($Q$23:$Q$26=Q24)*($X$23:$X$26=X24)*($V$23:$V$26=V24)*($W$23:$W$26=W24)*($AC$23:$AC$26&lt;AC24))</f>
        <v>1</v>
      </c>
      <c r="AC24" s="43">
        <v>2</v>
      </c>
      <c r="AD24" s="49"/>
      <c r="AE24" s="23">
        <v>2</v>
      </c>
      <c r="AF24" s="87" t="str">
        <f t="shared" ref="AF24:AF26" si="102">VLOOKUP($AE24,$O$23:$X$26,2,FALSE)</f>
        <v>Paraguai</v>
      </c>
      <c r="AG24" s="88">
        <f t="shared" ref="AG24:AG26" si="103">VLOOKUP($AE24,$O$23:$X$26,3,FALSE)</f>
        <v>0</v>
      </c>
      <c r="AH24" s="88">
        <f t="shared" ref="AH24:AH26" si="104">VLOOKUP($AE24,$O$23:$X$26,4,FALSE)</f>
        <v>0</v>
      </c>
      <c r="AI24" s="88">
        <f t="shared" ref="AI24:AI26" si="105">VLOOKUP($AE24,$O$23:$X$26,5,FALSE)</f>
        <v>0</v>
      </c>
      <c r="AJ24" s="88">
        <f t="shared" ref="AJ24:AJ26" si="106">VLOOKUP($AE24,$O$23:$X$26,6,FALSE)</f>
        <v>0</v>
      </c>
      <c r="AK24" s="88">
        <f t="shared" ref="AK24:AK26" si="107">VLOOKUP($AE24,$O$23:$X$26,7,FALSE)</f>
        <v>0</v>
      </c>
      <c r="AL24" s="88">
        <f t="shared" ref="AL24:AL26" si="108">VLOOKUP($AE24,$O$23:$X$26,8,FALSE)</f>
        <v>0</v>
      </c>
      <c r="AM24" s="88">
        <f t="shared" ref="AM24:AM26" si="109">VLOOKUP($AE24,$O$23:$X$26,9,FALSE)</f>
        <v>0</v>
      </c>
      <c r="AN24" s="89">
        <f t="shared" ref="AN24:AN26" si="110">VLOOKUP($AE24,$O$23:$X$26,10,FALSE)</f>
        <v>0</v>
      </c>
      <c r="AP24" s="17">
        <v>5</v>
      </c>
      <c r="AQ24" s="17" t="str">
        <f t="shared" si="89"/>
        <v>E</v>
      </c>
      <c r="AR24" s="17">
        <f t="shared" si="90"/>
        <v>69</v>
      </c>
    </row>
    <row r="25" spans="1:64" x14ac:dyDescent="0.25">
      <c r="A25" s="49"/>
      <c r="B25" s="104" t="s">
        <v>45</v>
      </c>
      <c r="C25" s="99">
        <v>46198</v>
      </c>
      <c r="D25" s="41" t="s">
        <v>46</v>
      </c>
      <c r="E25" s="87" t="str">
        <f>P26</f>
        <v>Turquia</v>
      </c>
      <c r="F25" s="127"/>
      <c r="G25" s="88" t="s">
        <v>22</v>
      </c>
      <c r="H25" s="127"/>
      <c r="I25" s="117" t="str">
        <f>P23</f>
        <v>Estados Unidos</v>
      </c>
      <c r="J25" s="42" t="str">
        <f t="shared" si="0"/>
        <v>empate</v>
      </c>
      <c r="K25" s="42" t="str">
        <f t="shared" si="1"/>
        <v/>
      </c>
      <c r="L25" s="42" t="str">
        <f t="shared" si="2"/>
        <v/>
      </c>
      <c r="M25" s="43" t="str">
        <f t="shared" si="3"/>
        <v>empate</v>
      </c>
      <c r="N25" s="49"/>
      <c r="O25" s="51">
        <f t="shared" si="91"/>
        <v>3</v>
      </c>
      <c r="P25" s="53" t="str">
        <f>Sorteios!C16</f>
        <v>Austrália</v>
      </c>
      <c r="Q25" s="42">
        <f t="shared" si="92"/>
        <v>0</v>
      </c>
      <c r="R25" s="42">
        <f t="shared" si="93"/>
        <v>0</v>
      </c>
      <c r="S25" s="42">
        <f t="shared" si="94"/>
        <v>0</v>
      </c>
      <c r="T25" s="42">
        <f t="shared" si="95"/>
        <v>0</v>
      </c>
      <c r="U25" s="42">
        <f t="shared" si="96"/>
        <v>0</v>
      </c>
      <c r="V25" s="42">
        <f>SUMIF(E:E,P25,F:F)+SUMIF(I:I,P25,H:H)</f>
        <v>0</v>
      </c>
      <c r="W25" s="42">
        <f>SUMIF(E:E,P25,H:H)+SUMIF(I:I,P25,F:F)</f>
        <v>0</v>
      </c>
      <c r="X25" s="42">
        <f t="shared" si="97"/>
        <v>0</v>
      </c>
      <c r="Y25" s="42">
        <f t="shared" si="98"/>
        <v>0</v>
      </c>
      <c r="Z25" s="42">
        <f t="shared" si="99"/>
        <v>0</v>
      </c>
      <c r="AA25" s="42">
        <f t="shared" si="100"/>
        <v>0</v>
      </c>
      <c r="AB25" s="42">
        <f t="shared" si="101"/>
        <v>2</v>
      </c>
      <c r="AC25" s="43">
        <v>3</v>
      </c>
      <c r="AD25" s="49"/>
      <c r="AE25" s="23">
        <v>3</v>
      </c>
      <c r="AF25" s="87" t="str">
        <f t="shared" si="102"/>
        <v>Austrália</v>
      </c>
      <c r="AG25" s="88">
        <f t="shared" si="103"/>
        <v>0</v>
      </c>
      <c r="AH25" s="88">
        <f t="shared" si="104"/>
        <v>0</v>
      </c>
      <c r="AI25" s="88">
        <f t="shared" si="105"/>
        <v>0</v>
      </c>
      <c r="AJ25" s="88">
        <f t="shared" si="106"/>
        <v>0</v>
      </c>
      <c r="AK25" s="88">
        <f t="shared" si="107"/>
        <v>0</v>
      </c>
      <c r="AL25" s="88">
        <f t="shared" si="108"/>
        <v>0</v>
      </c>
      <c r="AM25" s="88">
        <f t="shared" si="109"/>
        <v>0</v>
      </c>
      <c r="AN25" s="89">
        <f t="shared" si="110"/>
        <v>0</v>
      </c>
      <c r="AP25" s="17">
        <v>6</v>
      </c>
      <c r="AQ25" s="17" t="str">
        <f t="shared" si="89"/>
        <v>F</v>
      </c>
      <c r="AR25" s="17">
        <f t="shared" si="90"/>
        <v>70</v>
      </c>
    </row>
    <row r="26" spans="1:64" ht="15.75" thickBot="1" x14ac:dyDescent="0.3">
      <c r="A26" s="49"/>
      <c r="B26" s="105" t="s">
        <v>45</v>
      </c>
      <c r="C26" s="100">
        <v>46198</v>
      </c>
      <c r="D26" s="56" t="s">
        <v>46</v>
      </c>
      <c r="E26" s="90" t="str">
        <f>P24</f>
        <v>Paraguai</v>
      </c>
      <c r="F26" s="128"/>
      <c r="G26" s="91" t="s">
        <v>22</v>
      </c>
      <c r="H26" s="128"/>
      <c r="I26" s="118" t="str">
        <f>P25</f>
        <v>Austrália</v>
      </c>
      <c r="J26" s="57" t="str">
        <f t="shared" si="0"/>
        <v>empate</v>
      </c>
      <c r="K26" s="57" t="str">
        <f t="shared" si="1"/>
        <v/>
      </c>
      <c r="L26" s="57" t="str">
        <f t="shared" si="2"/>
        <v/>
      </c>
      <c r="M26" s="58" t="str">
        <f t="shared" si="3"/>
        <v>empate</v>
      </c>
      <c r="N26" s="61"/>
      <c r="O26" s="60">
        <f t="shared" si="91"/>
        <v>4</v>
      </c>
      <c r="P26" s="53" t="str">
        <f>Sorteios!C17</f>
        <v>Turquia</v>
      </c>
      <c r="Q26" s="57">
        <f t="shared" si="92"/>
        <v>0</v>
      </c>
      <c r="R26" s="57">
        <f t="shared" si="93"/>
        <v>0</v>
      </c>
      <c r="S26" s="42">
        <f t="shared" si="94"/>
        <v>0</v>
      </c>
      <c r="T26" s="42">
        <f t="shared" si="95"/>
        <v>0</v>
      </c>
      <c r="U26" s="42">
        <f t="shared" si="96"/>
        <v>0</v>
      </c>
      <c r="V26" s="57">
        <f>SUMIF(E:E,P26,F:F)+SUMIF(I:I,P26,H:H)</f>
        <v>0</v>
      </c>
      <c r="W26" s="57">
        <f>SUMIF(E:E,P26,H:H)+SUMIF(I:I,P26,F:F)</f>
        <v>0</v>
      </c>
      <c r="X26" s="57">
        <f t="shared" si="97"/>
        <v>0</v>
      </c>
      <c r="Y26" s="57">
        <f t="shared" si="98"/>
        <v>0</v>
      </c>
      <c r="Z26" s="57">
        <f t="shared" si="99"/>
        <v>0</v>
      </c>
      <c r="AA26" s="57">
        <f t="shared" si="100"/>
        <v>0</v>
      </c>
      <c r="AB26" s="57">
        <f t="shared" si="101"/>
        <v>3</v>
      </c>
      <c r="AC26" s="58">
        <v>4</v>
      </c>
      <c r="AD26" s="61"/>
      <c r="AE26" s="24">
        <v>4</v>
      </c>
      <c r="AF26" s="90" t="str">
        <f t="shared" si="102"/>
        <v>Turquia</v>
      </c>
      <c r="AG26" s="91">
        <f t="shared" si="103"/>
        <v>0</v>
      </c>
      <c r="AH26" s="91">
        <f t="shared" si="104"/>
        <v>0</v>
      </c>
      <c r="AI26" s="91">
        <f t="shared" si="105"/>
        <v>0</v>
      </c>
      <c r="AJ26" s="91">
        <f t="shared" si="106"/>
        <v>0</v>
      </c>
      <c r="AK26" s="91">
        <f t="shared" si="107"/>
        <v>0</v>
      </c>
      <c r="AL26" s="91">
        <f t="shared" si="108"/>
        <v>0</v>
      </c>
      <c r="AM26" s="91">
        <f t="shared" si="109"/>
        <v>0</v>
      </c>
      <c r="AN26" s="92">
        <f t="shared" si="110"/>
        <v>0</v>
      </c>
      <c r="AP26" s="17">
        <v>7</v>
      </c>
      <c r="AQ26" s="17" t="str">
        <f t="shared" si="89"/>
        <v>G</v>
      </c>
      <c r="AR26" s="17">
        <f t="shared" si="90"/>
        <v>71</v>
      </c>
    </row>
    <row r="27" spans="1:64" x14ac:dyDescent="0.25">
      <c r="A27" s="49"/>
      <c r="B27" s="106" t="s">
        <v>44</v>
      </c>
      <c r="C27" s="101">
        <v>46187</v>
      </c>
      <c r="D27" s="67" t="s">
        <v>46</v>
      </c>
      <c r="E27" s="119" t="str">
        <f>P29</f>
        <v>Alemanha</v>
      </c>
      <c r="F27" s="129"/>
      <c r="G27" s="115" t="s">
        <v>22</v>
      </c>
      <c r="H27" s="129"/>
      <c r="I27" s="120" t="str">
        <f>P30</f>
        <v>Curaçau</v>
      </c>
      <c r="J27" s="63" t="str">
        <f t="shared" si="0"/>
        <v>empate</v>
      </c>
      <c r="K27" s="63" t="str">
        <f t="shared" si="1"/>
        <v/>
      </c>
      <c r="L27" s="63" t="str">
        <f t="shared" si="2"/>
        <v/>
      </c>
      <c r="M27" s="64" t="str">
        <f t="shared" si="3"/>
        <v>empate</v>
      </c>
      <c r="N27" s="65"/>
      <c r="O27" s="66"/>
      <c r="P27" s="46" t="s">
        <v>57</v>
      </c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8"/>
      <c r="AE27" s="82" t="s">
        <v>57</v>
      </c>
      <c r="AF27" s="83"/>
      <c r="AG27" s="83"/>
      <c r="AH27" s="83"/>
      <c r="AI27" s="83"/>
      <c r="AJ27" s="83"/>
      <c r="AK27" s="83"/>
      <c r="AL27" s="83"/>
      <c r="AM27" s="83"/>
      <c r="AN27" s="84"/>
      <c r="AP27" s="17">
        <v>8</v>
      </c>
      <c r="AQ27" s="17" t="str">
        <f t="shared" si="89"/>
        <v>H</v>
      </c>
      <c r="AR27" s="17">
        <f t="shared" si="90"/>
        <v>72</v>
      </c>
    </row>
    <row r="28" spans="1:64" x14ac:dyDescent="0.25">
      <c r="A28" s="49"/>
      <c r="B28" s="104" t="s">
        <v>44</v>
      </c>
      <c r="C28" s="99">
        <v>46187</v>
      </c>
      <c r="D28" s="40" t="s">
        <v>24</v>
      </c>
      <c r="E28" s="110" t="str">
        <f>P31</f>
        <v>Costa do Marfim</v>
      </c>
      <c r="F28" s="127"/>
      <c r="G28" s="88" t="s">
        <v>22</v>
      </c>
      <c r="H28" s="127"/>
      <c r="I28" s="111" t="str">
        <f>P32</f>
        <v>Equador</v>
      </c>
      <c r="J28" s="42" t="str">
        <f t="shared" si="0"/>
        <v>empate</v>
      </c>
      <c r="K28" s="42" t="str">
        <f t="shared" si="1"/>
        <v/>
      </c>
      <c r="L28" s="42" t="str">
        <f t="shared" si="2"/>
        <v/>
      </c>
      <c r="M28" s="43" t="str">
        <f t="shared" si="3"/>
        <v>empate</v>
      </c>
      <c r="N28" s="50"/>
      <c r="O28" s="51" t="s">
        <v>25</v>
      </c>
      <c r="P28" s="18" t="s">
        <v>26</v>
      </c>
      <c r="Q28" s="42" t="s">
        <v>27</v>
      </c>
      <c r="R28" s="42" t="s">
        <v>28</v>
      </c>
      <c r="S28" s="42" t="s">
        <v>29</v>
      </c>
      <c r="T28" s="42" t="s">
        <v>30</v>
      </c>
      <c r="U28" s="42" t="s">
        <v>31</v>
      </c>
      <c r="V28" s="42" t="s">
        <v>32</v>
      </c>
      <c r="W28" s="42" t="s">
        <v>33</v>
      </c>
      <c r="X28" s="42" t="s">
        <v>34</v>
      </c>
      <c r="Y28" s="42" t="s">
        <v>35</v>
      </c>
      <c r="Z28" s="42" t="s">
        <v>36</v>
      </c>
      <c r="AA28" s="42" t="s">
        <v>37</v>
      </c>
      <c r="AB28" s="42" t="s">
        <v>38</v>
      </c>
      <c r="AC28" s="43" t="s">
        <v>39</v>
      </c>
      <c r="AD28" s="49"/>
      <c r="AE28" s="23" t="s">
        <v>40</v>
      </c>
      <c r="AF28" s="85" t="s">
        <v>17</v>
      </c>
      <c r="AG28" s="85" t="s">
        <v>41</v>
      </c>
      <c r="AH28" s="85" t="s">
        <v>42</v>
      </c>
      <c r="AI28" s="85" t="s">
        <v>43</v>
      </c>
      <c r="AJ28" s="85" t="s">
        <v>44</v>
      </c>
      <c r="AK28" s="85" t="s">
        <v>45</v>
      </c>
      <c r="AL28" s="85" t="s">
        <v>32</v>
      </c>
      <c r="AM28" s="85" t="s">
        <v>33</v>
      </c>
      <c r="AN28" s="86" t="s">
        <v>34</v>
      </c>
    </row>
    <row r="29" spans="1:64" x14ac:dyDescent="0.25">
      <c r="A29" s="49"/>
      <c r="B29" s="104" t="s">
        <v>44</v>
      </c>
      <c r="C29" s="99">
        <v>46193</v>
      </c>
      <c r="D29" s="40" t="s">
        <v>24</v>
      </c>
      <c r="E29" s="110" t="str">
        <f>P29</f>
        <v>Alemanha</v>
      </c>
      <c r="F29" s="127"/>
      <c r="G29" s="88" t="s">
        <v>22</v>
      </c>
      <c r="H29" s="127"/>
      <c r="I29" s="111" t="str">
        <f>P31</f>
        <v>Costa do Marfim</v>
      </c>
      <c r="J29" s="42" t="str">
        <f t="shared" si="0"/>
        <v>empate</v>
      </c>
      <c r="K29" s="42" t="str">
        <f t="shared" si="1"/>
        <v/>
      </c>
      <c r="L29" s="42" t="str">
        <f t="shared" si="2"/>
        <v/>
      </c>
      <c r="M29" s="43" t="str">
        <f t="shared" si="3"/>
        <v>empate</v>
      </c>
      <c r="N29" s="50"/>
      <c r="O29" s="51">
        <f>RANK(Q29,$Q$29:$Q$32)+SUM(Y29:AB29)</f>
        <v>1</v>
      </c>
      <c r="P29" s="53" t="str">
        <f>Sorteios!F14</f>
        <v>Alemanha</v>
      </c>
      <c r="Q29" s="42">
        <f>(S29*3)+(T29*1)</f>
        <v>0</v>
      </c>
      <c r="R29" s="42">
        <f>SUM(S29:U29)</f>
        <v>0</v>
      </c>
      <c r="S29" s="42">
        <f>COUNTIF(J:J,P29)</f>
        <v>0</v>
      </c>
      <c r="T29" s="42">
        <f>COUNTIF(K:K,P29)+COUNTIF(L:L,P29)</f>
        <v>0</v>
      </c>
      <c r="U29" s="42">
        <f>COUNTIF(M:M,P29)</f>
        <v>0</v>
      </c>
      <c r="V29" s="42">
        <f>SUMIF(E:E,P29,F:F)+SUMIF(I:I,P29,H:H)</f>
        <v>0</v>
      </c>
      <c r="W29" s="42">
        <f>SUMIF(E:E,P29,H:H)+SUMIF(I:I,P29,F:F)</f>
        <v>0</v>
      </c>
      <c r="X29" s="42">
        <f>V29-W29</f>
        <v>0</v>
      </c>
      <c r="Y29" s="42">
        <f>SUMPRODUCT(($Q$29:$Q$32=Q29)*($X$29:$X$32&gt;X29))</f>
        <v>0</v>
      </c>
      <c r="Z29" s="42">
        <f>SUMPRODUCT(($Q$29:$Q$32=Q29)*($X$29:$X$32=X29)*($V$29:$V$32&gt;V29))</f>
        <v>0</v>
      </c>
      <c r="AA29" s="42">
        <f>SUMPRODUCT(($Q$29:$Q$32=Q29)*($X$29:$X$32=X29)*($V$29:$V$32=V29)*($W$29:$W$32&gt;W29))</f>
        <v>0</v>
      </c>
      <c r="AB29" s="42">
        <f>SUMPRODUCT(($Q$29:$Q$32=Q29)*($X$29:$X$32=X29)*($V$29:$V$32=V29)*($W$29:$W$32=W29)*($AC$29:$AC$32&lt;AC29))</f>
        <v>0</v>
      </c>
      <c r="AC29" s="43">
        <v>1</v>
      </c>
      <c r="AD29" s="49"/>
      <c r="AE29" s="23">
        <v>1</v>
      </c>
      <c r="AF29" s="87" t="str">
        <f>VLOOKUP($AE29,$O$29:$X$32,2,FALSE)</f>
        <v>Alemanha</v>
      </c>
      <c r="AG29" s="88">
        <f>VLOOKUP($AE29,$O$29:$X$32,3,FALSE)</f>
        <v>0</v>
      </c>
      <c r="AH29" s="88">
        <f>VLOOKUP($AE29,$O$29:$X$32,4,FALSE)</f>
        <v>0</v>
      </c>
      <c r="AI29" s="88">
        <f>VLOOKUP($AE29,$O$29:$X$32,5,FALSE)</f>
        <v>0</v>
      </c>
      <c r="AJ29" s="88">
        <f>VLOOKUP($AE29,$O$29:$X$32,6,FALSE)</f>
        <v>0</v>
      </c>
      <c r="AK29" s="88">
        <f>VLOOKUP($AE29,$O$29:$X$32,7,FALSE)</f>
        <v>0</v>
      </c>
      <c r="AL29" s="88">
        <f>VLOOKUP($AE29,$O$29:$X$32,8,FALSE)</f>
        <v>0</v>
      </c>
      <c r="AM29" s="88">
        <f>VLOOKUP($AE29,$O$29:$X$32,9,FALSE)</f>
        <v>0</v>
      </c>
      <c r="AN29" s="89">
        <f>VLOOKUP($AE29,$O$29:$X$32,10,FALSE)</f>
        <v>0</v>
      </c>
      <c r="AQ29" s="17" t="str">
        <f>CHAR(SMALL($AR$20:$AR$27,1))</f>
        <v>A</v>
      </c>
      <c r="AR29" s="17" t="str">
        <f>_xlfn.CONCAT(3,AQ29)</f>
        <v>3A</v>
      </c>
      <c r="AS29" s="17" t="str">
        <f>VLOOKUP(AQ29,$AZ$5:$BA$16,2,FALSE)</f>
        <v>Coreia do Sul</v>
      </c>
    </row>
    <row r="30" spans="1:64" x14ac:dyDescent="0.25">
      <c r="A30" s="49"/>
      <c r="B30" s="104" t="s">
        <v>44</v>
      </c>
      <c r="C30" s="99">
        <v>46193</v>
      </c>
      <c r="D30" s="40" t="s">
        <v>46</v>
      </c>
      <c r="E30" s="110" t="str">
        <f>P32</f>
        <v>Equador</v>
      </c>
      <c r="F30" s="127"/>
      <c r="G30" s="88" t="s">
        <v>22</v>
      </c>
      <c r="H30" s="127"/>
      <c r="I30" s="111" t="str">
        <f>P30</f>
        <v>Curaçau</v>
      </c>
      <c r="J30" s="42" t="str">
        <f t="shared" si="0"/>
        <v>empate</v>
      </c>
      <c r="K30" s="42" t="str">
        <f t="shared" si="1"/>
        <v/>
      </c>
      <c r="L30" s="42" t="str">
        <f t="shared" si="2"/>
        <v/>
      </c>
      <c r="M30" s="43" t="str">
        <f t="shared" si="3"/>
        <v>empate</v>
      </c>
      <c r="N30" s="50"/>
      <c r="O30" s="51">
        <f t="shared" ref="O30:O32" si="111">RANK(Q30,$Q$29:$Q$32)+SUM(Y30:AB30)</f>
        <v>2</v>
      </c>
      <c r="P30" s="53" t="str">
        <f>Sorteios!F15</f>
        <v>Curaçau</v>
      </c>
      <c r="Q30" s="42">
        <f t="shared" ref="Q30:Q32" si="112">(S30*3)+(T30*1)</f>
        <v>0</v>
      </c>
      <c r="R30" s="42">
        <f t="shared" ref="R30:R32" si="113">SUM(S30:U30)</f>
        <v>0</v>
      </c>
      <c r="S30" s="42">
        <f t="shared" ref="S30:S32" si="114">COUNTIF(J:J,P30)</f>
        <v>0</v>
      </c>
      <c r="T30" s="42">
        <f t="shared" ref="T30:T32" si="115">COUNTIF(K:K,P30)+COUNTIF(L:L,P30)</f>
        <v>0</v>
      </c>
      <c r="U30" s="42">
        <f t="shared" ref="U30:U32" si="116">COUNTIF(M:M,P30)</f>
        <v>0</v>
      </c>
      <c r="V30" s="42">
        <f>SUMIF(E:E,P30,F:F)+SUMIF(I:I,P30,H:H)</f>
        <v>0</v>
      </c>
      <c r="W30" s="42">
        <f>SUMIF(E:E,P30,H:H)+SUMIF(I:I,P30,F:F)</f>
        <v>0</v>
      </c>
      <c r="X30" s="42">
        <f t="shared" ref="X30:X32" si="117">V30-W30</f>
        <v>0</v>
      </c>
      <c r="Y30" s="42">
        <f t="shared" ref="Y30:Y32" si="118">SUMPRODUCT(($Q$29:$Q$32=Q30)*($X$29:$X$32&gt;X30))</f>
        <v>0</v>
      </c>
      <c r="Z30" s="42">
        <f t="shared" ref="Z30:Z32" si="119">SUMPRODUCT(($Q$29:$Q$32=Q30)*($X$29:$X$32=X30)*($V$29:$V$32&gt;V30))</f>
        <v>0</v>
      </c>
      <c r="AA30" s="42">
        <f t="shared" ref="AA30:AA32" si="120">SUMPRODUCT(($Q$29:$Q$32=Q30)*($X$29:$X$32=X30)*($V$29:$V$32=V30)*($W$29:$W$32&gt;W30))</f>
        <v>0</v>
      </c>
      <c r="AB30" s="42">
        <f t="shared" ref="AB30:AB32" si="121">SUMPRODUCT(($Q$29:$Q$32=Q30)*($X$29:$X$32=X30)*($V$29:$V$32=V30)*($W$29:$W$32=W30)*($AC$29:$AC$32&lt;AC30))</f>
        <v>1</v>
      </c>
      <c r="AC30" s="43">
        <v>2</v>
      </c>
      <c r="AD30" s="49"/>
      <c r="AE30" s="23">
        <v>2</v>
      </c>
      <c r="AF30" s="87" t="str">
        <f t="shared" ref="AF30:AF32" si="122">VLOOKUP($AE30,$O$29:$X$32,2,FALSE)</f>
        <v>Curaçau</v>
      </c>
      <c r="AG30" s="88">
        <f t="shared" ref="AG30:AG32" si="123">VLOOKUP($AE30,$O$29:$X$32,3,FALSE)</f>
        <v>0</v>
      </c>
      <c r="AH30" s="88">
        <f t="shared" ref="AH30:AH32" si="124">VLOOKUP($AE30,$O$29:$X$32,4,FALSE)</f>
        <v>0</v>
      </c>
      <c r="AI30" s="88">
        <f t="shared" ref="AI30:AI32" si="125">VLOOKUP($AE30,$O$29:$X$32,5,FALSE)</f>
        <v>0</v>
      </c>
      <c r="AJ30" s="88">
        <f t="shared" ref="AJ30:AJ32" si="126">VLOOKUP($AE30,$O$29:$X$32,6,FALSE)</f>
        <v>0</v>
      </c>
      <c r="AK30" s="88">
        <f t="shared" ref="AK30:AK32" si="127">VLOOKUP($AE30,$O$29:$X$32,7,FALSE)</f>
        <v>0</v>
      </c>
      <c r="AL30" s="88">
        <f t="shared" ref="AL30:AL32" si="128">VLOOKUP($AE30,$O$29:$X$32,8,FALSE)</f>
        <v>0</v>
      </c>
      <c r="AM30" s="88">
        <f t="shared" ref="AM30:AM32" si="129">VLOOKUP($AE30,$O$29:$X$32,9,FALSE)</f>
        <v>0</v>
      </c>
      <c r="AN30" s="89">
        <f t="shared" ref="AN30:AN32" si="130">VLOOKUP($AE30,$O$29:$X$32,10,FALSE)</f>
        <v>0</v>
      </c>
      <c r="AQ30" s="17" t="str">
        <f>CHAR(SMALL($AR$20:$AR$27,2))</f>
        <v>B</v>
      </c>
      <c r="AR30" s="17" t="str">
        <f t="shared" ref="AR30:AR36" si="131">_xlfn.CONCAT(3,AQ30)</f>
        <v>3B</v>
      </c>
      <c r="AS30" s="17" t="str">
        <f t="shared" ref="AS30:AS36" si="132">VLOOKUP(AQ30,$AZ$5:$BA$16,2,FALSE)</f>
        <v>Qatar</v>
      </c>
    </row>
    <row r="31" spans="1:64" x14ac:dyDescent="0.25">
      <c r="A31" s="49"/>
      <c r="B31" s="104" t="s">
        <v>44</v>
      </c>
      <c r="C31" s="99">
        <v>46198</v>
      </c>
      <c r="D31" s="40" t="s">
        <v>46</v>
      </c>
      <c r="E31" s="110" t="str">
        <f>P32</f>
        <v>Equador</v>
      </c>
      <c r="F31" s="127"/>
      <c r="G31" s="88" t="s">
        <v>22</v>
      </c>
      <c r="H31" s="127"/>
      <c r="I31" s="111" t="str">
        <f>P29</f>
        <v>Alemanha</v>
      </c>
      <c r="J31" s="42" t="str">
        <f t="shared" si="0"/>
        <v>empate</v>
      </c>
      <c r="K31" s="42" t="str">
        <f t="shared" si="1"/>
        <v/>
      </c>
      <c r="L31" s="42" t="str">
        <f t="shared" si="2"/>
        <v/>
      </c>
      <c r="M31" s="43" t="str">
        <f t="shared" si="3"/>
        <v>empate</v>
      </c>
      <c r="N31" s="50"/>
      <c r="O31" s="51">
        <f t="shared" si="111"/>
        <v>3</v>
      </c>
      <c r="P31" s="53" t="str">
        <f>Sorteios!F16</f>
        <v>Costa do Marfim</v>
      </c>
      <c r="Q31" s="42">
        <f t="shared" si="112"/>
        <v>0</v>
      </c>
      <c r="R31" s="42">
        <f t="shared" si="113"/>
        <v>0</v>
      </c>
      <c r="S31" s="42">
        <f t="shared" si="114"/>
        <v>0</v>
      </c>
      <c r="T31" s="42">
        <f t="shared" si="115"/>
        <v>0</v>
      </c>
      <c r="U31" s="42">
        <f t="shared" si="116"/>
        <v>0</v>
      </c>
      <c r="V31" s="42">
        <f>SUMIF(E:E,P31,F:F)+SUMIF(I:I,P31,H:H)</f>
        <v>0</v>
      </c>
      <c r="W31" s="42">
        <f>SUMIF(E:E,P31,H:H)+SUMIF(I:I,P31,F:F)</f>
        <v>0</v>
      </c>
      <c r="X31" s="42">
        <f t="shared" si="117"/>
        <v>0</v>
      </c>
      <c r="Y31" s="42">
        <f t="shared" si="118"/>
        <v>0</v>
      </c>
      <c r="Z31" s="42">
        <f t="shared" si="119"/>
        <v>0</v>
      </c>
      <c r="AA31" s="42">
        <f t="shared" si="120"/>
        <v>0</v>
      </c>
      <c r="AB31" s="42">
        <f t="shared" si="121"/>
        <v>2</v>
      </c>
      <c r="AC31" s="43">
        <v>3</v>
      </c>
      <c r="AD31" s="49"/>
      <c r="AE31" s="23">
        <v>3</v>
      </c>
      <c r="AF31" s="87" t="str">
        <f t="shared" si="122"/>
        <v>Costa do Marfim</v>
      </c>
      <c r="AG31" s="88">
        <f t="shared" si="123"/>
        <v>0</v>
      </c>
      <c r="AH31" s="88">
        <f t="shared" si="124"/>
        <v>0</v>
      </c>
      <c r="AI31" s="88">
        <f t="shared" si="125"/>
        <v>0</v>
      </c>
      <c r="AJ31" s="88">
        <f t="shared" si="126"/>
        <v>0</v>
      </c>
      <c r="AK31" s="88">
        <f t="shared" si="127"/>
        <v>0</v>
      </c>
      <c r="AL31" s="88">
        <f t="shared" si="128"/>
        <v>0</v>
      </c>
      <c r="AM31" s="88">
        <f t="shared" si="129"/>
        <v>0</v>
      </c>
      <c r="AN31" s="89">
        <f t="shared" si="130"/>
        <v>0</v>
      </c>
      <c r="AQ31" s="17" t="str">
        <f>CHAR(SMALL($AR$20:$AR$27,3))</f>
        <v>C</v>
      </c>
      <c r="AR31" s="17" t="str">
        <f t="shared" si="131"/>
        <v>3C</v>
      </c>
      <c r="AS31" s="17" t="str">
        <f t="shared" si="132"/>
        <v>Haiti</v>
      </c>
    </row>
    <row r="32" spans="1:64" ht="15.75" thickBot="1" x14ac:dyDescent="0.3">
      <c r="A32" s="49"/>
      <c r="B32" s="105" t="s">
        <v>44</v>
      </c>
      <c r="C32" s="100">
        <v>46198</v>
      </c>
      <c r="D32" s="55" t="s">
        <v>46</v>
      </c>
      <c r="E32" s="112" t="str">
        <f>P30</f>
        <v>Curaçau</v>
      </c>
      <c r="F32" s="128"/>
      <c r="G32" s="91" t="s">
        <v>22</v>
      </c>
      <c r="H32" s="128"/>
      <c r="I32" s="113" t="str">
        <f>P31</f>
        <v>Costa do Marfim</v>
      </c>
      <c r="J32" s="57" t="str">
        <f t="shared" si="0"/>
        <v>empate</v>
      </c>
      <c r="K32" s="57" t="str">
        <f t="shared" si="1"/>
        <v/>
      </c>
      <c r="L32" s="57" t="str">
        <f t="shared" si="2"/>
        <v/>
      </c>
      <c r="M32" s="58" t="str">
        <f t="shared" si="3"/>
        <v>empate</v>
      </c>
      <c r="N32" s="59"/>
      <c r="O32" s="60">
        <f t="shared" si="111"/>
        <v>4</v>
      </c>
      <c r="P32" s="53" t="str">
        <f>Sorteios!F17</f>
        <v>Equador</v>
      </c>
      <c r="Q32" s="57">
        <f t="shared" si="112"/>
        <v>0</v>
      </c>
      <c r="R32" s="57">
        <f t="shared" si="113"/>
        <v>0</v>
      </c>
      <c r="S32" s="42">
        <f t="shared" si="114"/>
        <v>0</v>
      </c>
      <c r="T32" s="42">
        <f t="shared" si="115"/>
        <v>0</v>
      </c>
      <c r="U32" s="42">
        <f t="shared" si="116"/>
        <v>0</v>
      </c>
      <c r="V32" s="57">
        <f>SUMIF(E:E,P32,F:F)+SUMIF(I:I,P32,H:H)</f>
        <v>0</v>
      </c>
      <c r="W32" s="57">
        <f>SUMIF(E:E,P32,H:H)+SUMIF(I:I,P32,F:F)</f>
        <v>0</v>
      </c>
      <c r="X32" s="57">
        <f t="shared" si="117"/>
        <v>0</v>
      </c>
      <c r="Y32" s="57">
        <f t="shared" si="118"/>
        <v>0</v>
      </c>
      <c r="Z32" s="57">
        <f t="shared" si="119"/>
        <v>0</v>
      </c>
      <c r="AA32" s="57">
        <f t="shared" si="120"/>
        <v>0</v>
      </c>
      <c r="AB32" s="57">
        <f t="shared" si="121"/>
        <v>3</v>
      </c>
      <c r="AC32" s="58">
        <v>4</v>
      </c>
      <c r="AD32" s="61"/>
      <c r="AE32" s="24">
        <v>4</v>
      </c>
      <c r="AF32" s="90" t="str">
        <f t="shared" si="122"/>
        <v>Equador</v>
      </c>
      <c r="AG32" s="91">
        <f t="shared" si="123"/>
        <v>0</v>
      </c>
      <c r="AH32" s="91">
        <f t="shared" si="124"/>
        <v>0</v>
      </c>
      <c r="AI32" s="91">
        <f t="shared" si="125"/>
        <v>0</v>
      </c>
      <c r="AJ32" s="91">
        <f t="shared" si="126"/>
        <v>0</v>
      </c>
      <c r="AK32" s="91">
        <f t="shared" si="127"/>
        <v>0</v>
      </c>
      <c r="AL32" s="91">
        <f t="shared" si="128"/>
        <v>0</v>
      </c>
      <c r="AM32" s="91">
        <f t="shared" si="129"/>
        <v>0</v>
      </c>
      <c r="AN32" s="92">
        <f t="shared" si="130"/>
        <v>0</v>
      </c>
      <c r="AQ32" s="17" t="str">
        <f>CHAR(SMALL($AR$20:$AR$27,4))</f>
        <v>D</v>
      </c>
      <c r="AR32" s="17" t="str">
        <f t="shared" si="131"/>
        <v>3D</v>
      </c>
      <c r="AS32" s="17" t="str">
        <f t="shared" si="132"/>
        <v>Austrália</v>
      </c>
    </row>
    <row r="33" spans="1:45" x14ac:dyDescent="0.25">
      <c r="A33" s="49"/>
      <c r="B33" s="106" t="s">
        <v>58</v>
      </c>
      <c r="C33" s="101">
        <v>46187</v>
      </c>
      <c r="D33" s="62" t="s">
        <v>21</v>
      </c>
      <c r="E33" s="114" t="str">
        <f>P35</f>
        <v>Países Baixos</v>
      </c>
      <c r="F33" s="129"/>
      <c r="G33" s="115" t="s">
        <v>22</v>
      </c>
      <c r="H33" s="129"/>
      <c r="I33" s="116" t="str">
        <f>P36</f>
        <v>Japão</v>
      </c>
      <c r="J33" s="63" t="str">
        <f t="shared" si="0"/>
        <v>empate</v>
      </c>
      <c r="K33" s="63" t="str">
        <f t="shared" si="1"/>
        <v/>
      </c>
      <c r="L33" s="63" t="str">
        <f t="shared" si="2"/>
        <v/>
      </c>
      <c r="M33" s="64" t="str">
        <f t="shared" si="3"/>
        <v>empate</v>
      </c>
      <c r="N33" s="68"/>
      <c r="O33" s="66"/>
      <c r="P33" s="46" t="s">
        <v>59</v>
      </c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8"/>
      <c r="AE33" s="82" t="s">
        <v>59</v>
      </c>
      <c r="AF33" s="83"/>
      <c r="AG33" s="83"/>
      <c r="AH33" s="83"/>
      <c r="AI33" s="83"/>
      <c r="AJ33" s="83"/>
      <c r="AK33" s="83"/>
      <c r="AL33" s="83"/>
      <c r="AM33" s="83"/>
      <c r="AN33" s="84"/>
      <c r="AQ33" s="17" t="str">
        <f>CHAR(SMALL($AR$20:$AR$27,5))</f>
        <v>E</v>
      </c>
      <c r="AR33" s="17" t="str">
        <f t="shared" si="131"/>
        <v>3E</v>
      </c>
      <c r="AS33" s="17" t="str">
        <f t="shared" si="132"/>
        <v>Costa do Marfim</v>
      </c>
    </row>
    <row r="34" spans="1:45" x14ac:dyDescent="0.25">
      <c r="A34" s="49"/>
      <c r="B34" s="104" t="s">
        <v>58</v>
      </c>
      <c r="C34" s="99">
        <v>46187</v>
      </c>
      <c r="D34" s="41" t="s">
        <v>24</v>
      </c>
      <c r="E34" s="87" t="str">
        <f>P37</f>
        <v>Suécia</v>
      </c>
      <c r="F34" s="127"/>
      <c r="G34" s="88" t="s">
        <v>22</v>
      </c>
      <c r="H34" s="127"/>
      <c r="I34" s="117" t="str">
        <f>P38</f>
        <v>Tunísia</v>
      </c>
      <c r="J34" s="42" t="str">
        <f t="shared" si="0"/>
        <v>empate</v>
      </c>
      <c r="K34" s="42" t="str">
        <f t="shared" si="1"/>
        <v/>
      </c>
      <c r="L34" s="42" t="str">
        <f t="shared" si="2"/>
        <v/>
      </c>
      <c r="M34" s="43" t="str">
        <f t="shared" si="3"/>
        <v>empate</v>
      </c>
      <c r="N34" s="49"/>
      <c r="O34" s="51" t="s">
        <v>25</v>
      </c>
      <c r="P34" s="18" t="s">
        <v>26</v>
      </c>
      <c r="Q34" s="42" t="s">
        <v>27</v>
      </c>
      <c r="R34" s="42" t="s">
        <v>28</v>
      </c>
      <c r="S34" s="42" t="s">
        <v>29</v>
      </c>
      <c r="T34" s="42" t="s">
        <v>30</v>
      </c>
      <c r="U34" s="42" t="s">
        <v>31</v>
      </c>
      <c r="V34" s="42" t="s">
        <v>32</v>
      </c>
      <c r="W34" s="42" t="s">
        <v>33</v>
      </c>
      <c r="X34" s="42" t="s">
        <v>34</v>
      </c>
      <c r="Y34" s="42" t="s">
        <v>35</v>
      </c>
      <c r="Z34" s="42" t="s">
        <v>36</v>
      </c>
      <c r="AA34" s="42" t="s">
        <v>37</v>
      </c>
      <c r="AB34" s="42" t="s">
        <v>38</v>
      </c>
      <c r="AC34" s="43" t="s">
        <v>39</v>
      </c>
      <c r="AD34" s="49"/>
      <c r="AE34" s="23" t="s">
        <v>40</v>
      </c>
      <c r="AF34" s="85" t="s">
        <v>17</v>
      </c>
      <c r="AG34" s="85" t="s">
        <v>41</v>
      </c>
      <c r="AH34" s="85" t="s">
        <v>42</v>
      </c>
      <c r="AI34" s="85" t="s">
        <v>43</v>
      </c>
      <c r="AJ34" s="85" t="s">
        <v>44</v>
      </c>
      <c r="AK34" s="85" t="s">
        <v>45</v>
      </c>
      <c r="AL34" s="85" t="s">
        <v>32</v>
      </c>
      <c r="AM34" s="85" t="s">
        <v>33</v>
      </c>
      <c r="AN34" s="86" t="s">
        <v>34</v>
      </c>
      <c r="AQ34" s="17" t="str">
        <f>CHAR(SMALL($AR$20:$AR$27,6))</f>
        <v>F</v>
      </c>
      <c r="AR34" s="17" t="str">
        <f t="shared" si="131"/>
        <v>3F</v>
      </c>
      <c r="AS34" s="17" t="str">
        <f t="shared" si="132"/>
        <v>Suécia</v>
      </c>
    </row>
    <row r="35" spans="1:45" x14ac:dyDescent="0.25">
      <c r="A35" s="49"/>
      <c r="B35" s="104" t="s">
        <v>58</v>
      </c>
      <c r="C35" s="99">
        <v>46193</v>
      </c>
      <c r="D35" s="41" t="s">
        <v>46</v>
      </c>
      <c r="E35" s="87" t="str">
        <f>P35</f>
        <v>Países Baixos</v>
      </c>
      <c r="F35" s="127"/>
      <c r="G35" s="88" t="s">
        <v>22</v>
      </c>
      <c r="H35" s="127"/>
      <c r="I35" s="117" t="str">
        <f>P37</f>
        <v>Suécia</v>
      </c>
      <c r="J35" s="42" t="str">
        <f t="shared" ref="J35:J66" si="133">IF(F35=H35,"empate",IF(F35&gt;H35,E35,I35))</f>
        <v>empate</v>
      </c>
      <c r="K35" s="42" t="str">
        <f t="shared" ref="K35:K66" si="134">IF(F35="","",IF(H35="","",IF(J35="empate",E35,"")))</f>
        <v/>
      </c>
      <c r="L35" s="42" t="str">
        <f t="shared" ref="L35:L66" si="135">IF(E35="","",IF(F35="","",IF(M35="empate",I35,"")))</f>
        <v/>
      </c>
      <c r="M35" s="43" t="str">
        <f t="shared" ref="M35:M66" si="136">IF(F35=H35,"empate",IF(F35&lt;H35,E35,I35))</f>
        <v>empate</v>
      </c>
      <c r="N35" s="49"/>
      <c r="O35" s="51">
        <f>RANK(Q35,$Q$35:$Q$38)+SUM(Y35:AB35)</f>
        <v>1</v>
      </c>
      <c r="P35" s="53" t="str">
        <f>Sorteios!I14</f>
        <v>Países Baixos</v>
      </c>
      <c r="Q35" s="42">
        <f>(S35*3)+(T35*1)</f>
        <v>0</v>
      </c>
      <c r="R35" s="42">
        <f>SUM(S35:U35)</f>
        <v>0</v>
      </c>
      <c r="S35" s="42">
        <f>COUNTIF(J:J,P35)</f>
        <v>0</v>
      </c>
      <c r="T35" s="42">
        <f>COUNTIF(K:K,P35)+COUNTIF(L:L,P35)</f>
        <v>0</v>
      </c>
      <c r="U35" s="42">
        <f>COUNTIF(M:M,P35)</f>
        <v>0</v>
      </c>
      <c r="V35" s="42">
        <f>SUMIF(E:E,P35,F:F)+SUMIF(I:I,P35,H:H)</f>
        <v>0</v>
      </c>
      <c r="W35" s="42">
        <f>SUMIF(E:E,P35,H:H)+SUMIF(I:I,P35,F:F)</f>
        <v>0</v>
      </c>
      <c r="X35" s="42">
        <f>V35-W35</f>
        <v>0</v>
      </c>
      <c r="Y35" s="42">
        <f>SUMPRODUCT(($Q$35:$Q$38=Q35)*($X$35:$X$38&gt;X35))</f>
        <v>0</v>
      </c>
      <c r="Z35" s="42">
        <f>SUMPRODUCT(($Q$35:$Q$38=Q35)*($X$35:$X$38=X35)*($V$35:$V$38&gt;V35))</f>
        <v>0</v>
      </c>
      <c r="AA35" s="42">
        <f>SUMPRODUCT(($Q$35:$Q$38=Q35)*($X$35:$X$38=X35)*($V$35:$V$38=V35)*($W$35:$W$38&gt;W35))</f>
        <v>0</v>
      </c>
      <c r="AB35" s="42">
        <f>SUMPRODUCT(($Q$35:$Q$38=Q35)*($X$35:$X$38=X35)*($V$35:$V$38=V35)*($W$35:$W$38=W35)*($AC$35:$AC$38&lt;AC35))</f>
        <v>0</v>
      </c>
      <c r="AC35" s="43">
        <v>1</v>
      </c>
      <c r="AD35" s="49"/>
      <c r="AE35" s="23">
        <v>1</v>
      </c>
      <c r="AF35" s="87" t="str">
        <f>VLOOKUP($AE35,$O$35:$X$38,2,FALSE)</f>
        <v>Países Baixos</v>
      </c>
      <c r="AG35" s="88">
        <f>VLOOKUP($AE35,$O$35:$X$38,3,FALSE)</f>
        <v>0</v>
      </c>
      <c r="AH35" s="88">
        <f>VLOOKUP($AE35,$O$35:$X$38,4,FALSE)</f>
        <v>0</v>
      </c>
      <c r="AI35" s="88">
        <f>VLOOKUP($AE35,$O$35:$X$38,5,FALSE)</f>
        <v>0</v>
      </c>
      <c r="AJ35" s="88">
        <f>VLOOKUP($AE35,$O$35:$X$38,6,FALSE)</f>
        <v>0</v>
      </c>
      <c r="AK35" s="88">
        <f>VLOOKUP($AE35,$O$35:$X$38,7,FALSE)</f>
        <v>0</v>
      </c>
      <c r="AL35" s="88">
        <f>VLOOKUP($AE35,$O$35:$X$38,8,FALSE)</f>
        <v>0</v>
      </c>
      <c r="AM35" s="88">
        <f>VLOOKUP($AE35,$O$35:$X$38,9,FALSE)</f>
        <v>0</v>
      </c>
      <c r="AN35" s="89">
        <f>VLOOKUP($AE35,$O$35:$X$38,10,FALSE)</f>
        <v>0</v>
      </c>
      <c r="AQ35" s="17" t="str">
        <f>CHAR(SMALL($AR$20:$AR$27,7))</f>
        <v>G</v>
      </c>
      <c r="AR35" s="17" t="str">
        <f t="shared" si="131"/>
        <v>3G</v>
      </c>
      <c r="AS35" s="17" t="str">
        <f t="shared" si="132"/>
        <v>Irã</v>
      </c>
    </row>
    <row r="36" spans="1:45" x14ac:dyDescent="0.25">
      <c r="A36" s="49"/>
      <c r="B36" s="104" t="s">
        <v>58</v>
      </c>
      <c r="C36" s="99">
        <v>46193</v>
      </c>
      <c r="D36" s="41" t="s">
        <v>21</v>
      </c>
      <c r="E36" s="87" t="str">
        <f>P38</f>
        <v>Tunísia</v>
      </c>
      <c r="F36" s="127"/>
      <c r="G36" s="88" t="s">
        <v>22</v>
      </c>
      <c r="H36" s="127"/>
      <c r="I36" s="117" t="str">
        <f>P36</f>
        <v>Japão</v>
      </c>
      <c r="J36" s="42" t="str">
        <f t="shared" si="133"/>
        <v>empate</v>
      </c>
      <c r="K36" s="42" t="str">
        <f t="shared" si="134"/>
        <v/>
      </c>
      <c r="L36" s="42" t="str">
        <f t="shared" si="135"/>
        <v/>
      </c>
      <c r="M36" s="43" t="str">
        <f t="shared" si="136"/>
        <v>empate</v>
      </c>
      <c r="N36" s="49"/>
      <c r="O36" s="51">
        <f t="shared" ref="O36:O38" si="137">RANK(Q36,$Q$35:$Q$38)+SUM(Y36:AB36)</f>
        <v>2</v>
      </c>
      <c r="P36" s="53" t="str">
        <f>Sorteios!I15</f>
        <v>Japão</v>
      </c>
      <c r="Q36" s="42">
        <f t="shared" ref="Q36:Q38" si="138">(S36*3)+(T36*1)</f>
        <v>0</v>
      </c>
      <c r="R36" s="42">
        <f t="shared" ref="R36:R38" si="139">SUM(S36:U36)</f>
        <v>0</v>
      </c>
      <c r="S36" s="42">
        <f t="shared" ref="S36:S38" si="140">COUNTIF(J:J,P36)</f>
        <v>0</v>
      </c>
      <c r="T36" s="42">
        <f t="shared" ref="T36:T38" si="141">COUNTIF(K:K,P36)+COUNTIF(L:L,P36)</f>
        <v>0</v>
      </c>
      <c r="U36" s="42">
        <f t="shared" ref="U36:U38" si="142">COUNTIF(M:M,P36)</f>
        <v>0</v>
      </c>
      <c r="V36" s="42">
        <f>SUMIF(E:E,P36,F:F)+SUMIF(I:I,P36,H:H)</f>
        <v>0</v>
      </c>
      <c r="W36" s="42">
        <f>SUMIF(E:E,P36,H:H)+SUMIF(I:I,P36,F:F)</f>
        <v>0</v>
      </c>
      <c r="X36" s="42">
        <f t="shared" ref="X36:X38" si="143">V36-W36</f>
        <v>0</v>
      </c>
      <c r="Y36" s="42">
        <f t="shared" ref="Y36:Y38" si="144">SUMPRODUCT(($Q$35:$Q$38=Q36)*($X$35:$X$38&gt;X36))</f>
        <v>0</v>
      </c>
      <c r="Z36" s="42">
        <f t="shared" ref="Z36:Z38" si="145">SUMPRODUCT(($Q$35:$Q$38=Q36)*($X$35:$X$38=X36)*($V$35:$V$38&gt;V36))</f>
        <v>0</v>
      </c>
      <c r="AA36" s="42">
        <f t="shared" ref="AA36:AA38" si="146">SUMPRODUCT(($Q$35:$Q$38=Q36)*($X$35:$X$38=X36)*($V$35:$V$38=V36)*($W$35:$W$38&gt;W36))</f>
        <v>0</v>
      </c>
      <c r="AB36" s="42">
        <f t="shared" ref="AB36:AB38" si="147">SUMPRODUCT(($Q$35:$Q$38=Q36)*($X$35:$X$38=X36)*($V$35:$V$38=V36)*($W$35:$W$38=W36)*($AC$35:$AC$38&lt;AC36))</f>
        <v>1</v>
      </c>
      <c r="AC36" s="43">
        <v>2</v>
      </c>
      <c r="AD36" s="49"/>
      <c r="AE36" s="23">
        <v>2</v>
      </c>
      <c r="AF36" s="87" t="str">
        <f t="shared" ref="AF36:AF38" si="148">VLOOKUP($AE36,$O$35:$X$38,2,FALSE)</f>
        <v>Japão</v>
      </c>
      <c r="AG36" s="88">
        <f t="shared" ref="AG36:AG38" si="149">VLOOKUP($AE36,$O$35:$X$38,3,FALSE)</f>
        <v>0</v>
      </c>
      <c r="AH36" s="88">
        <f t="shared" ref="AH36:AH38" si="150">VLOOKUP($AE36,$O$35:$X$38,4,FALSE)</f>
        <v>0</v>
      </c>
      <c r="AI36" s="88">
        <f t="shared" ref="AI36:AI38" si="151">VLOOKUP($AE36,$O$35:$X$38,5,FALSE)</f>
        <v>0</v>
      </c>
      <c r="AJ36" s="88">
        <f t="shared" ref="AJ36:AJ38" si="152">VLOOKUP($AE36,$O$35:$X$38,6,FALSE)</f>
        <v>0</v>
      </c>
      <c r="AK36" s="88">
        <f t="shared" ref="AK36:AK38" si="153">VLOOKUP($AE36,$O$35:$X$38,7,FALSE)</f>
        <v>0</v>
      </c>
      <c r="AL36" s="88">
        <f t="shared" ref="AL36:AL38" si="154">VLOOKUP($AE36,$O$35:$X$38,8,FALSE)</f>
        <v>0</v>
      </c>
      <c r="AM36" s="88">
        <f t="shared" ref="AM36:AM38" si="155">VLOOKUP($AE36,$O$35:$X$38,9,FALSE)</f>
        <v>0</v>
      </c>
      <c r="AN36" s="89">
        <f t="shared" ref="AN36:AN38" si="156">VLOOKUP($AE36,$O$35:$X$38,10,FALSE)</f>
        <v>0</v>
      </c>
      <c r="AQ36" s="17" t="str">
        <f>CHAR(SMALL($AR$20:$AR$27,8))</f>
        <v>H</v>
      </c>
      <c r="AR36" s="17" t="str">
        <f t="shared" si="131"/>
        <v>3H</v>
      </c>
      <c r="AS36" s="17" t="str">
        <f t="shared" si="132"/>
        <v>Arábia Saudita</v>
      </c>
    </row>
    <row r="37" spans="1:45" x14ac:dyDescent="0.25">
      <c r="A37" s="49"/>
      <c r="B37" s="104" t="s">
        <v>58</v>
      </c>
      <c r="C37" s="99">
        <v>46198</v>
      </c>
      <c r="D37" s="41" t="s">
        <v>47</v>
      </c>
      <c r="E37" s="87" t="str">
        <f>P38</f>
        <v>Tunísia</v>
      </c>
      <c r="F37" s="127"/>
      <c r="G37" s="88" t="s">
        <v>22</v>
      </c>
      <c r="H37" s="127"/>
      <c r="I37" s="117" t="str">
        <f>P35</f>
        <v>Países Baixos</v>
      </c>
      <c r="J37" s="42" t="str">
        <f t="shared" si="133"/>
        <v>empate</v>
      </c>
      <c r="K37" s="42" t="str">
        <f t="shared" si="134"/>
        <v/>
      </c>
      <c r="L37" s="42" t="str">
        <f t="shared" si="135"/>
        <v/>
      </c>
      <c r="M37" s="43" t="str">
        <f t="shared" si="136"/>
        <v>empate</v>
      </c>
      <c r="N37" s="49"/>
      <c r="O37" s="51">
        <f t="shared" si="137"/>
        <v>3</v>
      </c>
      <c r="P37" s="53" t="str">
        <f>Sorteios!I16</f>
        <v>Suécia</v>
      </c>
      <c r="Q37" s="42">
        <f t="shared" si="138"/>
        <v>0</v>
      </c>
      <c r="R37" s="42">
        <f t="shared" si="139"/>
        <v>0</v>
      </c>
      <c r="S37" s="42">
        <f t="shared" si="140"/>
        <v>0</v>
      </c>
      <c r="T37" s="42">
        <f t="shared" si="141"/>
        <v>0</v>
      </c>
      <c r="U37" s="42">
        <f t="shared" si="142"/>
        <v>0</v>
      </c>
      <c r="V37" s="42">
        <f>SUMIF(E:E,P37,F:F)+SUMIF(I:I,P37,H:H)</f>
        <v>0</v>
      </c>
      <c r="W37" s="42">
        <f>SUMIF(E:E,P37,H:H)+SUMIF(I:I,P37,F:F)</f>
        <v>0</v>
      </c>
      <c r="X37" s="42">
        <f t="shared" si="143"/>
        <v>0</v>
      </c>
      <c r="Y37" s="42">
        <f t="shared" si="144"/>
        <v>0</v>
      </c>
      <c r="Z37" s="42">
        <f t="shared" si="145"/>
        <v>0</v>
      </c>
      <c r="AA37" s="42">
        <f t="shared" si="146"/>
        <v>0</v>
      </c>
      <c r="AB37" s="42">
        <f t="shared" si="147"/>
        <v>2</v>
      </c>
      <c r="AC37" s="43">
        <v>3</v>
      </c>
      <c r="AD37" s="49"/>
      <c r="AE37" s="23">
        <v>3</v>
      </c>
      <c r="AF37" s="87" t="str">
        <f t="shared" si="148"/>
        <v>Suécia</v>
      </c>
      <c r="AG37" s="88">
        <f t="shared" si="149"/>
        <v>0</v>
      </c>
      <c r="AH37" s="88">
        <f t="shared" si="150"/>
        <v>0</v>
      </c>
      <c r="AI37" s="88">
        <f t="shared" si="151"/>
        <v>0</v>
      </c>
      <c r="AJ37" s="88">
        <f t="shared" si="152"/>
        <v>0</v>
      </c>
      <c r="AK37" s="88">
        <f t="shared" si="153"/>
        <v>0</v>
      </c>
      <c r="AL37" s="88">
        <f t="shared" si="154"/>
        <v>0</v>
      </c>
      <c r="AM37" s="88">
        <f t="shared" si="155"/>
        <v>0</v>
      </c>
      <c r="AN37" s="89">
        <f t="shared" si="156"/>
        <v>0</v>
      </c>
    </row>
    <row r="38" spans="1:45" ht="15.75" thickBot="1" x14ac:dyDescent="0.3">
      <c r="A38" s="49"/>
      <c r="B38" s="105" t="s">
        <v>58</v>
      </c>
      <c r="C38" s="100">
        <v>46198</v>
      </c>
      <c r="D38" s="56" t="s">
        <v>47</v>
      </c>
      <c r="E38" s="90" t="str">
        <f>P36</f>
        <v>Japão</v>
      </c>
      <c r="F38" s="128"/>
      <c r="G38" s="91" t="s">
        <v>22</v>
      </c>
      <c r="H38" s="128"/>
      <c r="I38" s="118" t="str">
        <f>P37</f>
        <v>Suécia</v>
      </c>
      <c r="J38" s="57" t="str">
        <f t="shared" si="133"/>
        <v>empate</v>
      </c>
      <c r="K38" s="57" t="str">
        <f t="shared" si="134"/>
        <v/>
      </c>
      <c r="L38" s="57" t="str">
        <f t="shared" si="135"/>
        <v/>
      </c>
      <c r="M38" s="58" t="str">
        <f t="shared" si="136"/>
        <v>empate</v>
      </c>
      <c r="N38" s="61"/>
      <c r="O38" s="60">
        <f t="shared" si="137"/>
        <v>4</v>
      </c>
      <c r="P38" s="53" t="str">
        <f>Sorteios!I17</f>
        <v>Tunísia</v>
      </c>
      <c r="Q38" s="57">
        <f t="shared" si="138"/>
        <v>0</v>
      </c>
      <c r="R38" s="57">
        <f t="shared" si="139"/>
        <v>0</v>
      </c>
      <c r="S38" s="42">
        <f t="shared" si="140"/>
        <v>0</v>
      </c>
      <c r="T38" s="42">
        <f t="shared" si="141"/>
        <v>0</v>
      </c>
      <c r="U38" s="42">
        <f t="shared" si="142"/>
        <v>0</v>
      </c>
      <c r="V38" s="57">
        <f>SUMIF(E:E,P38,F:F)+SUMIF(I:I,P38,H:H)</f>
        <v>0</v>
      </c>
      <c r="W38" s="57">
        <f>SUMIF(E:E,P38,H:H)+SUMIF(I:I,P38,F:F)</f>
        <v>0</v>
      </c>
      <c r="X38" s="57">
        <f t="shared" si="143"/>
        <v>0</v>
      </c>
      <c r="Y38" s="57">
        <f t="shared" si="144"/>
        <v>0</v>
      </c>
      <c r="Z38" s="57">
        <f t="shared" si="145"/>
        <v>0</v>
      </c>
      <c r="AA38" s="57">
        <f t="shared" si="146"/>
        <v>0</v>
      </c>
      <c r="AB38" s="57">
        <f t="shared" si="147"/>
        <v>3</v>
      </c>
      <c r="AC38" s="58">
        <v>4</v>
      </c>
      <c r="AD38" s="61"/>
      <c r="AE38" s="24">
        <v>4</v>
      </c>
      <c r="AF38" s="90" t="str">
        <f t="shared" si="148"/>
        <v>Tunísia</v>
      </c>
      <c r="AG38" s="91">
        <f t="shared" si="149"/>
        <v>0</v>
      </c>
      <c r="AH38" s="91">
        <f t="shared" si="150"/>
        <v>0</v>
      </c>
      <c r="AI38" s="91">
        <f t="shared" si="151"/>
        <v>0</v>
      </c>
      <c r="AJ38" s="91">
        <f t="shared" si="152"/>
        <v>0</v>
      </c>
      <c r="AK38" s="91">
        <f t="shared" si="153"/>
        <v>0</v>
      </c>
      <c r="AL38" s="91">
        <f t="shared" si="154"/>
        <v>0</v>
      </c>
      <c r="AM38" s="91">
        <f t="shared" si="155"/>
        <v>0</v>
      </c>
      <c r="AN38" s="92">
        <f t="shared" si="156"/>
        <v>0</v>
      </c>
      <c r="AQ38" s="17" t="str">
        <f>_xlfn.CONCAT(AQ29:AQ36)</f>
        <v>ABCDEFGH</v>
      </c>
      <c r="AR38" s="17" t="str">
        <f>VLOOKUP(AQ38,Dummy!O:X,10,FALSE)</f>
        <v>3H3G3B3C3A3F3D3E</v>
      </c>
    </row>
    <row r="39" spans="1:45" x14ac:dyDescent="0.25">
      <c r="A39" s="49"/>
      <c r="B39" s="106" t="s">
        <v>60</v>
      </c>
      <c r="C39" s="101">
        <v>46188</v>
      </c>
      <c r="D39" s="67" t="s">
        <v>21</v>
      </c>
      <c r="E39" s="119" t="str">
        <f>P41</f>
        <v>Bélgica</v>
      </c>
      <c r="F39" s="129"/>
      <c r="G39" s="115" t="s">
        <v>22</v>
      </c>
      <c r="H39" s="129"/>
      <c r="I39" s="120" t="str">
        <f>P42</f>
        <v>Egito</v>
      </c>
      <c r="J39" s="63" t="str">
        <f t="shared" si="133"/>
        <v>empate</v>
      </c>
      <c r="K39" s="63" t="str">
        <f t="shared" si="134"/>
        <v/>
      </c>
      <c r="L39" s="63" t="str">
        <f t="shared" si="135"/>
        <v/>
      </c>
      <c r="M39" s="64" t="str">
        <f t="shared" si="136"/>
        <v>empate</v>
      </c>
      <c r="N39" s="65"/>
      <c r="O39" s="66"/>
      <c r="P39" s="46" t="s">
        <v>61</v>
      </c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8"/>
      <c r="AE39" s="82" t="s">
        <v>61</v>
      </c>
      <c r="AF39" s="83"/>
      <c r="AG39" s="83"/>
      <c r="AH39" s="83"/>
      <c r="AI39" s="83"/>
      <c r="AJ39" s="83"/>
      <c r="AK39" s="83"/>
      <c r="AL39" s="83"/>
      <c r="AM39" s="83"/>
      <c r="AN39" s="84"/>
    </row>
    <row r="40" spans="1:45" x14ac:dyDescent="0.25">
      <c r="A40" s="49"/>
      <c r="B40" s="104" t="s">
        <v>60</v>
      </c>
      <c r="C40" s="99">
        <v>46188</v>
      </c>
      <c r="D40" s="40" t="s">
        <v>46</v>
      </c>
      <c r="E40" s="110" t="str">
        <f>P43</f>
        <v>Irã</v>
      </c>
      <c r="F40" s="127"/>
      <c r="G40" s="88" t="s">
        <v>22</v>
      </c>
      <c r="H40" s="127"/>
      <c r="I40" s="111" t="str">
        <f>P44</f>
        <v>Nova Zelândia</v>
      </c>
      <c r="J40" s="42" t="str">
        <f t="shared" si="133"/>
        <v>empate</v>
      </c>
      <c r="K40" s="42" t="str">
        <f t="shared" si="134"/>
        <v/>
      </c>
      <c r="L40" s="42" t="str">
        <f t="shared" si="135"/>
        <v/>
      </c>
      <c r="M40" s="43" t="str">
        <f t="shared" si="136"/>
        <v>empate</v>
      </c>
      <c r="N40" s="50"/>
      <c r="O40" s="51" t="s">
        <v>25</v>
      </c>
      <c r="P40" s="18" t="s">
        <v>26</v>
      </c>
      <c r="Q40" s="42" t="s">
        <v>27</v>
      </c>
      <c r="R40" s="42" t="s">
        <v>28</v>
      </c>
      <c r="S40" s="42" t="s">
        <v>29</v>
      </c>
      <c r="T40" s="42" t="s">
        <v>30</v>
      </c>
      <c r="U40" s="42" t="s">
        <v>31</v>
      </c>
      <c r="V40" s="42" t="s">
        <v>32</v>
      </c>
      <c r="W40" s="42" t="s">
        <v>33</v>
      </c>
      <c r="X40" s="42" t="s">
        <v>34</v>
      </c>
      <c r="Y40" s="42" t="s">
        <v>35</v>
      </c>
      <c r="Z40" s="42" t="s">
        <v>36</v>
      </c>
      <c r="AA40" s="42" t="s">
        <v>37</v>
      </c>
      <c r="AB40" s="42" t="s">
        <v>38</v>
      </c>
      <c r="AC40" s="43" t="s">
        <v>39</v>
      </c>
      <c r="AD40" s="49"/>
      <c r="AE40" s="23" t="s">
        <v>40</v>
      </c>
      <c r="AF40" s="85" t="s">
        <v>17</v>
      </c>
      <c r="AG40" s="85" t="s">
        <v>41</v>
      </c>
      <c r="AH40" s="85" t="s">
        <v>42</v>
      </c>
      <c r="AI40" s="85" t="s">
        <v>43</v>
      </c>
      <c r="AJ40" s="85" t="s">
        <v>44</v>
      </c>
      <c r="AK40" s="85" t="s">
        <v>45</v>
      </c>
      <c r="AL40" s="85" t="s">
        <v>32</v>
      </c>
      <c r="AM40" s="85" t="s">
        <v>33</v>
      </c>
      <c r="AN40" s="86" t="s">
        <v>34</v>
      </c>
    </row>
    <row r="41" spans="1:45" x14ac:dyDescent="0.25">
      <c r="A41" s="49"/>
      <c r="B41" s="104" t="s">
        <v>60</v>
      </c>
      <c r="C41" s="99">
        <v>46194</v>
      </c>
      <c r="D41" s="40" t="s">
        <v>24</v>
      </c>
      <c r="E41" s="110" t="str">
        <f>P41</f>
        <v>Bélgica</v>
      </c>
      <c r="F41" s="127"/>
      <c r="G41" s="88" t="s">
        <v>22</v>
      </c>
      <c r="H41" s="127"/>
      <c r="I41" s="111" t="str">
        <f>P43</f>
        <v>Irã</v>
      </c>
      <c r="J41" s="42" t="str">
        <f t="shared" si="133"/>
        <v>empate</v>
      </c>
      <c r="K41" s="42" t="str">
        <f t="shared" si="134"/>
        <v/>
      </c>
      <c r="L41" s="42" t="str">
        <f t="shared" si="135"/>
        <v/>
      </c>
      <c r="M41" s="43" t="str">
        <f t="shared" si="136"/>
        <v>empate</v>
      </c>
      <c r="N41" s="50"/>
      <c r="O41" s="51">
        <f>RANK(Q41,$Q$41:$Q$44)+SUM(Y41:AB41)</f>
        <v>1</v>
      </c>
      <c r="P41" s="53" t="str">
        <f>Sorteios!C22</f>
        <v>Bélgica</v>
      </c>
      <c r="Q41" s="42">
        <f>(S41*3)+(T41*1)</f>
        <v>0</v>
      </c>
      <c r="R41" s="42">
        <f>SUM(S41:U41)</f>
        <v>0</v>
      </c>
      <c r="S41" s="42">
        <f>COUNTIF(J:J,P41)</f>
        <v>0</v>
      </c>
      <c r="T41" s="42">
        <f>COUNTIF(K:K,P41)+COUNTIF(L:L,P41)</f>
        <v>0</v>
      </c>
      <c r="U41" s="42">
        <f>COUNTIF(M:M,P41)</f>
        <v>0</v>
      </c>
      <c r="V41" s="42">
        <f>SUMIF(E:E,P41,F:F)+SUMIF(I:I,P41,H:H)</f>
        <v>0</v>
      </c>
      <c r="W41" s="42">
        <f>SUMIF(E:E,P41,H:H)+SUMIF(I:I,P41,F:F)</f>
        <v>0</v>
      </c>
      <c r="X41" s="42">
        <f>V41-W41</f>
        <v>0</v>
      </c>
      <c r="Y41" s="42">
        <f>SUMPRODUCT(($Q$41:$Q$44=Q41)*($X$41:$X$44&gt;X41))</f>
        <v>0</v>
      </c>
      <c r="Z41" s="42">
        <f>SUMPRODUCT(($Q$41:$Q$44=Q41)*($X$41:$X$44=X41)*($V$41:$V$44&gt;V41))</f>
        <v>0</v>
      </c>
      <c r="AA41" s="42">
        <f>SUMPRODUCT(($Q$41:$Q$44=Q41)*($X$41:$X$44=X41)*($V$41:$V$44=V41)*($W$41:$W$44&gt;W41))</f>
        <v>0</v>
      </c>
      <c r="AB41" s="42">
        <f>SUMPRODUCT(($Q$41:$Q$44=Q41)*($X$41:$X$44=X41)*($V$41:$V$44=V41)*($W$41:$W$44=W41)*($AC$41:$AC$44&lt;AC41))</f>
        <v>0</v>
      </c>
      <c r="AC41" s="43">
        <v>1</v>
      </c>
      <c r="AD41" s="49"/>
      <c r="AE41" s="23">
        <v>1</v>
      </c>
      <c r="AF41" s="87" t="str">
        <f>VLOOKUP($AE41,$O$41:$X$44,2,FALSE)</f>
        <v>Bélgica</v>
      </c>
      <c r="AG41" s="88">
        <f>VLOOKUP($AE41,$O$41:$X$44,3,FALSE)</f>
        <v>0</v>
      </c>
      <c r="AH41" s="88">
        <f>VLOOKUP($AE41,$O$41:$X$44,4,FALSE)</f>
        <v>0</v>
      </c>
      <c r="AI41" s="88">
        <f>VLOOKUP($AE41,$O$41:$X$44,5,FALSE)</f>
        <v>0</v>
      </c>
      <c r="AJ41" s="88">
        <f>VLOOKUP($AE41,$O$41:$X$44,6,FALSE)</f>
        <v>0</v>
      </c>
      <c r="AK41" s="88">
        <f>VLOOKUP($AE41,$O$41:$X$44,7,FALSE)</f>
        <v>0</v>
      </c>
      <c r="AL41" s="88">
        <f>VLOOKUP($AE41,$O$41:$X$44,8,FALSE)</f>
        <v>0</v>
      </c>
      <c r="AM41" s="88">
        <f>VLOOKUP($AE41,$O$41:$X$44,9,FALSE)</f>
        <v>0</v>
      </c>
      <c r="AN41" s="89">
        <f>VLOOKUP($AE41,$O$41:$X$44,10,FALSE)</f>
        <v>0</v>
      </c>
    </row>
    <row r="42" spans="1:45" x14ac:dyDescent="0.25">
      <c r="A42" s="49"/>
      <c r="B42" s="104" t="s">
        <v>60</v>
      </c>
      <c r="C42" s="99">
        <v>46194</v>
      </c>
      <c r="D42" s="40" t="s">
        <v>24</v>
      </c>
      <c r="E42" s="110" t="str">
        <f>P44</f>
        <v>Nova Zelândia</v>
      </c>
      <c r="F42" s="127"/>
      <c r="G42" s="88" t="s">
        <v>22</v>
      </c>
      <c r="H42" s="127"/>
      <c r="I42" s="111" t="str">
        <f>P42</f>
        <v>Egito</v>
      </c>
      <c r="J42" s="42" t="str">
        <f t="shared" si="133"/>
        <v>empate</v>
      </c>
      <c r="K42" s="42" t="str">
        <f t="shared" si="134"/>
        <v/>
      </c>
      <c r="L42" s="42" t="str">
        <f t="shared" si="135"/>
        <v/>
      </c>
      <c r="M42" s="43" t="str">
        <f t="shared" si="136"/>
        <v>empate</v>
      </c>
      <c r="N42" s="50"/>
      <c r="O42" s="51">
        <f t="shared" ref="O42:O44" si="157">RANK(Q42,$Q$41:$Q$44)+SUM(Y42:AB42)</f>
        <v>2</v>
      </c>
      <c r="P42" s="53" t="str">
        <f>Sorteios!C23</f>
        <v>Egito</v>
      </c>
      <c r="Q42" s="42">
        <f t="shared" ref="Q42:Q44" si="158">(S42*3)+(T42*1)</f>
        <v>0</v>
      </c>
      <c r="R42" s="42">
        <f t="shared" ref="R42:R44" si="159">SUM(S42:U42)</f>
        <v>0</v>
      </c>
      <c r="S42" s="42">
        <f t="shared" ref="S42:S44" si="160">COUNTIF(J:J,P42)</f>
        <v>0</v>
      </c>
      <c r="T42" s="42">
        <f t="shared" ref="T42:T44" si="161">COUNTIF(K:K,P42)+COUNTIF(L:L,P42)</f>
        <v>0</v>
      </c>
      <c r="U42" s="42">
        <f t="shared" ref="U42:U44" si="162">COUNTIF(M:M,P42)</f>
        <v>0</v>
      </c>
      <c r="V42" s="42">
        <f>SUMIF(E:E,P42,F:F)+SUMIF(I:I,P42,H:H)</f>
        <v>0</v>
      </c>
      <c r="W42" s="42">
        <f>SUMIF(E:E,P42,H:H)+SUMIF(I:I,P42,F:F)</f>
        <v>0</v>
      </c>
      <c r="X42" s="42">
        <f t="shared" ref="X42:X44" si="163">V42-W42</f>
        <v>0</v>
      </c>
      <c r="Y42" s="42">
        <f t="shared" ref="Y42:Y44" si="164">SUMPRODUCT(($Q$41:$Q$44=Q42)*($X$41:$X$44&gt;X42))</f>
        <v>0</v>
      </c>
      <c r="Z42" s="42">
        <f t="shared" ref="Z42:Z44" si="165">SUMPRODUCT(($Q$41:$Q$44=Q42)*($X$41:$X$44=X42)*($V$41:$V$44&gt;V42))</f>
        <v>0</v>
      </c>
      <c r="AA42" s="42">
        <f t="shared" ref="AA42:AA44" si="166">SUMPRODUCT(($Q$41:$Q$44=Q42)*($X$41:$X$44=X42)*($V$41:$V$44=V42)*($W$41:$W$44&gt;W42))</f>
        <v>0</v>
      </c>
      <c r="AB42" s="42">
        <f t="shared" ref="AB42:AB44" si="167">SUMPRODUCT(($Q$41:$Q$44=Q42)*($X$41:$X$44=X42)*($V$41:$V$44=V42)*($W$41:$W$44=W42)*($AC$41:$AC$44&lt;AC42))</f>
        <v>1</v>
      </c>
      <c r="AC42" s="43">
        <v>2</v>
      </c>
      <c r="AD42" s="49"/>
      <c r="AE42" s="23">
        <v>2</v>
      </c>
      <c r="AF42" s="87" t="str">
        <f t="shared" ref="AF42:AF44" si="168">VLOOKUP($AE42,$O$41:$X$44,2,FALSE)</f>
        <v>Egito</v>
      </c>
      <c r="AG42" s="88">
        <f t="shared" ref="AG42:AG44" si="169">VLOOKUP($AE42,$O$41:$X$44,3,FALSE)</f>
        <v>0</v>
      </c>
      <c r="AH42" s="88">
        <f t="shared" ref="AH42:AH44" si="170">VLOOKUP($AE42,$O$41:$X$44,4,FALSE)</f>
        <v>0</v>
      </c>
      <c r="AI42" s="88">
        <f t="shared" ref="AI42:AI44" si="171">VLOOKUP($AE42,$O$41:$X$44,5,FALSE)</f>
        <v>0</v>
      </c>
      <c r="AJ42" s="88">
        <f t="shared" ref="AJ42:AJ44" si="172">VLOOKUP($AE42,$O$41:$X$44,6,FALSE)</f>
        <v>0</v>
      </c>
      <c r="AK42" s="88">
        <f t="shared" ref="AK42:AK44" si="173">VLOOKUP($AE42,$O$41:$X$44,7,FALSE)</f>
        <v>0</v>
      </c>
      <c r="AL42" s="88">
        <f t="shared" ref="AL42:AL44" si="174">VLOOKUP($AE42,$O$41:$X$44,8,FALSE)</f>
        <v>0</v>
      </c>
      <c r="AM42" s="88">
        <f t="shared" ref="AM42:AM44" si="175">VLOOKUP($AE42,$O$41:$X$44,9,FALSE)</f>
        <v>0</v>
      </c>
      <c r="AN42" s="89">
        <f t="shared" ref="AN42:AN44" si="176">VLOOKUP($AE42,$O$41:$X$44,10,FALSE)</f>
        <v>0</v>
      </c>
    </row>
    <row r="43" spans="1:45" x14ac:dyDescent="0.25">
      <c r="A43" s="49"/>
      <c r="B43" s="104" t="s">
        <v>60</v>
      </c>
      <c r="C43" s="99">
        <v>46199</v>
      </c>
      <c r="D43" s="40" t="s">
        <v>46</v>
      </c>
      <c r="E43" s="110" t="str">
        <f>P44</f>
        <v>Nova Zelândia</v>
      </c>
      <c r="F43" s="127"/>
      <c r="G43" s="88" t="s">
        <v>22</v>
      </c>
      <c r="H43" s="127"/>
      <c r="I43" s="111" t="str">
        <f>P41</f>
        <v>Bélgica</v>
      </c>
      <c r="J43" s="42" t="str">
        <f t="shared" si="133"/>
        <v>empate</v>
      </c>
      <c r="K43" s="42" t="str">
        <f t="shared" si="134"/>
        <v/>
      </c>
      <c r="L43" s="42" t="str">
        <f t="shared" si="135"/>
        <v/>
      </c>
      <c r="M43" s="43" t="str">
        <f t="shared" si="136"/>
        <v>empate</v>
      </c>
      <c r="N43" s="50"/>
      <c r="O43" s="51">
        <f t="shared" si="157"/>
        <v>3</v>
      </c>
      <c r="P43" s="53" t="str">
        <f>Sorteios!C24</f>
        <v>Irã</v>
      </c>
      <c r="Q43" s="42">
        <f t="shared" si="158"/>
        <v>0</v>
      </c>
      <c r="R43" s="42">
        <f t="shared" si="159"/>
        <v>0</v>
      </c>
      <c r="S43" s="42">
        <f t="shared" si="160"/>
        <v>0</v>
      </c>
      <c r="T43" s="42">
        <f t="shared" si="161"/>
        <v>0</v>
      </c>
      <c r="U43" s="42">
        <f t="shared" si="162"/>
        <v>0</v>
      </c>
      <c r="V43" s="42">
        <f>SUMIF(E:E,P43,F:F)+SUMIF(I:I,P43,H:H)</f>
        <v>0</v>
      </c>
      <c r="W43" s="42">
        <f>SUMIF(E:E,P43,H:H)+SUMIF(I:I,P43,F:F)</f>
        <v>0</v>
      </c>
      <c r="X43" s="42">
        <f t="shared" si="163"/>
        <v>0</v>
      </c>
      <c r="Y43" s="42">
        <f t="shared" si="164"/>
        <v>0</v>
      </c>
      <c r="Z43" s="42">
        <f t="shared" si="165"/>
        <v>0</v>
      </c>
      <c r="AA43" s="42">
        <f t="shared" si="166"/>
        <v>0</v>
      </c>
      <c r="AB43" s="42">
        <f t="shared" si="167"/>
        <v>2</v>
      </c>
      <c r="AC43" s="43">
        <v>3</v>
      </c>
      <c r="AD43" s="49"/>
      <c r="AE43" s="23">
        <v>3</v>
      </c>
      <c r="AF43" s="87" t="str">
        <f t="shared" si="168"/>
        <v>Irã</v>
      </c>
      <c r="AG43" s="88">
        <f t="shared" si="169"/>
        <v>0</v>
      </c>
      <c r="AH43" s="88">
        <f t="shared" si="170"/>
        <v>0</v>
      </c>
      <c r="AI43" s="88">
        <f t="shared" si="171"/>
        <v>0</v>
      </c>
      <c r="AJ43" s="88">
        <f t="shared" si="172"/>
        <v>0</v>
      </c>
      <c r="AK43" s="88">
        <f t="shared" si="173"/>
        <v>0</v>
      </c>
      <c r="AL43" s="88">
        <f t="shared" si="174"/>
        <v>0</v>
      </c>
      <c r="AM43" s="88">
        <f t="shared" si="175"/>
        <v>0</v>
      </c>
      <c r="AN43" s="89">
        <f t="shared" si="176"/>
        <v>0</v>
      </c>
    </row>
    <row r="44" spans="1:45" ht="15.75" thickBot="1" x14ac:dyDescent="0.3">
      <c r="A44" s="49"/>
      <c r="B44" s="105" t="s">
        <v>60</v>
      </c>
      <c r="C44" s="100">
        <v>46199</v>
      </c>
      <c r="D44" s="55" t="s">
        <v>46</v>
      </c>
      <c r="E44" s="112" t="str">
        <f>P42</f>
        <v>Egito</v>
      </c>
      <c r="F44" s="128"/>
      <c r="G44" s="91" t="s">
        <v>22</v>
      </c>
      <c r="H44" s="128"/>
      <c r="I44" s="113" t="str">
        <f>P43</f>
        <v>Irã</v>
      </c>
      <c r="J44" s="57" t="str">
        <f t="shared" si="133"/>
        <v>empate</v>
      </c>
      <c r="K44" s="57" t="str">
        <f t="shared" si="134"/>
        <v/>
      </c>
      <c r="L44" s="57" t="str">
        <f t="shared" si="135"/>
        <v/>
      </c>
      <c r="M44" s="58" t="str">
        <f t="shared" si="136"/>
        <v>empate</v>
      </c>
      <c r="N44" s="59"/>
      <c r="O44" s="60">
        <f t="shared" si="157"/>
        <v>4</v>
      </c>
      <c r="P44" s="53" t="str">
        <f>Sorteios!C25</f>
        <v>Nova Zelândia</v>
      </c>
      <c r="Q44" s="57">
        <f t="shared" si="158"/>
        <v>0</v>
      </c>
      <c r="R44" s="57">
        <f t="shared" si="159"/>
        <v>0</v>
      </c>
      <c r="S44" s="42">
        <f t="shared" si="160"/>
        <v>0</v>
      </c>
      <c r="T44" s="42">
        <f t="shared" si="161"/>
        <v>0</v>
      </c>
      <c r="U44" s="42">
        <f t="shared" si="162"/>
        <v>0</v>
      </c>
      <c r="V44" s="57">
        <f>SUMIF(E:E,P44,F:F)+SUMIF(I:I,P44,H:H)</f>
        <v>0</v>
      </c>
      <c r="W44" s="57">
        <f>SUMIF(E:E,P44,H:H)+SUMIF(I:I,P44,F:F)</f>
        <v>0</v>
      </c>
      <c r="X44" s="57">
        <f t="shared" si="163"/>
        <v>0</v>
      </c>
      <c r="Y44" s="57">
        <f t="shared" si="164"/>
        <v>0</v>
      </c>
      <c r="Z44" s="57">
        <f t="shared" si="165"/>
        <v>0</v>
      </c>
      <c r="AA44" s="57">
        <f t="shared" si="166"/>
        <v>0</v>
      </c>
      <c r="AB44" s="57">
        <f t="shared" si="167"/>
        <v>3</v>
      </c>
      <c r="AC44" s="58">
        <v>4</v>
      </c>
      <c r="AD44" s="61"/>
      <c r="AE44" s="24">
        <v>4</v>
      </c>
      <c r="AF44" s="90" t="str">
        <f t="shared" si="168"/>
        <v>Nova Zelândia</v>
      </c>
      <c r="AG44" s="91">
        <f t="shared" si="169"/>
        <v>0</v>
      </c>
      <c r="AH44" s="91">
        <f t="shared" si="170"/>
        <v>0</v>
      </c>
      <c r="AI44" s="91">
        <f t="shared" si="171"/>
        <v>0</v>
      </c>
      <c r="AJ44" s="91">
        <f t="shared" si="172"/>
        <v>0</v>
      </c>
      <c r="AK44" s="91">
        <f t="shared" si="173"/>
        <v>0</v>
      </c>
      <c r="AL44" s="91">
        <f t="shared" si="174"/>
        <v>0</v>
      </c>
      <c r="AM44" s="91">
        <f t="shared" si="175"/>
        <v>0</v>
      </c>
      <c r="AN44" s="92">
        <f t="shared" si="176"/>
        <v>0</v>
      </c>
    </row>
    <row r="45" spans="1:45" x14ac:dyDescent="0.25">
      <c r="A45" s="49"/>
      <c r="B45" s="106" t="s">
        <v>62</v>
      </c>
      <c r="C45" s="101">
        <v>46188</v>
      </c>
      <c r="D45" s="62" t="s">
        <v>21</v>
      </c>
      <c r="E45" s="114" t="str">
        <f>P47</f>
        <v>Espanha</v>
      </c>
      <c r="F45" s="129"/>
      <c r="G45" s="115" t="s">
        <v>22</v>
      </c>
      <c r="H45" s="129"/>
      <c r="I45" s="116" t="str">
        <f>P48</f>
        <v>Cabo Verde</v>
      </c>
      <c r="J45" s="63" t="str">
        <f t="shared" si="133"/>
        <v>empate</v>
      </c>
      <c r="K45" s="63" t="str">
        <f t="shared" si="134"/>
        <v/>
      </c>
      <c r="L45" s="63" t="str">
        <f t="shared" si="135"/>
        <v/>
      </c>
      <c r="M45" s="64" t="str">
        <f t="shared" si="136"/>
        <v>empate</v>
      </c>
      <c r="N45" s="68"/>
      <c r="O45" s="66"/>
      <c r="P45" s="46" t="s">
        <v>63</v>
      </c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8"/>
      <c r="AE45" s="82" t="s">
        <v>63</v>
      </c>
      <c r="AF45" s="83"/>
      <c r="AG45" s="83"/>
      <c r="AH45" s="83"/>
      <c r="AI45" s="83"/>
      <c r="AJ45" s="83"/>
      <c r="AK45" s="83"/>
      <c r="AL45" s="83"/>
      <c r="AM45" s="83"/>
      <c r="AN45" s="84"/>
    </row>
    <row r="46" spans="1:45" x14ac:dyDescent="0.25">
      <c r="A46" s="49"/>
      <c r="B46" s="104" t="s">
        <v>62</v>
      </c>
      <c r="C46" s="99">
        <v>46188</v>
      </c>
      <c r="D46" s="41" t="s">
        <v>24</v>
      </c>
      <c r="E46" s="87" t="str">
        <f>P49</f>
        <v>Arábia Saudita</v>
      </c>
      <c r="F46" s="127"/>
      <c r="G46" s="88" t="s">
        <v>22</v>
      </c>
      <c r="H46" s="127"/>
      <c r="I46" s="117" t="str">
        <f>P50</f>
        <v>Uruguai</v>
      </c>
      <c r="J46" s="42" t="str">
        <f t="shared" si="133"/>
        <v>empate</v>
      </c>
      <c r="K46" s="42" t="str">
        <f t="shared" si="134"/>
        <v/>
      </c>
      <c r="L46" s="42" t="str">
        <f t="shared" si="135"/>
        <v/>
      </c>
      <c r="M46" s="43" t="str">
        <f t="shared" si="136"/>
        <v>empate</v>
      </c>
      <c r="N46" s="49"/>
      <c r="O46" s="51" t="s">
        <v>25</v>
      </c>
      <c r="P46" s="18" t="s">
        <v>26</v>
      </c>
      <c r="Q46" s="42" t="s">
        <v>27</v>
      </c>
      <c r="R46" s="42" t="s">
        <v>28</v>
      </c>
      <c r="S46" s="42" t="s">
        <v>29</v>
      </c>
      <c r="T46" s="42" t="s">
        <v>30</v>
      </c>
      <c r="U46" s="42" t="s">
        <v>31</v>
      </c>
      <c r="V46" s="42" t="s">
        <v>32</v>
      </c>
      <c r="W46" s="42" t="s">
        <v>33</v>
      </c>
      <c r="X46" s="42" t="s">
        <v>34</v>
      </c>
      <c r="Y46" s="42" t="s">
        <v>35</v>
      </c>
      <c r="Z46" s="42" t="s">
        <v>36</v>
      </c>
      <c r="AA46" s="42" t="s">
        <v>37</v>
      </c>
      <c r="AB46" s="42" t="s">
        <v>38</v>
      </c>
      <c r="AC46" s="43" t="s">
        <v>39</v>
      </c>
      <c r="AD46" s="49"/>
      <c r="AE46" s="23" t="s">
        <v>40</v>
      </c>
      <c r="AF46" s="85" t="s">
        <v>17</v>
      </c>
      <c r="AG46" s="85" t="s">
        <v>41</v>
      </c>
      <c r="AH46" s="85" t="s">
        <v>42</v>
      </c>
      <c r="AI46" s="85" t="s">
        <v>43</v>
      </c>
      <c r="AJ46" s="85" t="s">
        <v>44</v>
      </c>
      <c r="AK46" s="85" t="s">
        <v>45</v>
      </c>
      <c r="AL46" s="85" t="s">
        <v>32</v>
      </c>
      <c r="AM46" s="85" t="s">
        <v>33</v>
      </c>
      <c r="AN46" s="86" t="s">
        <v>34</v>
      </c>
    </row>
    <row r="47" spans="1:45" x14ac:dyDescent="0.25">
      <c r="A47" s="49"/>
      <c r="B47" s="104" t="s">
        <v>62</v>
      </c>
      <c r="C47" s="99">
        <v>46194</v>
      </c>
      <c r="D47" s="41" t="s">
        <v>46</v>
      </c>
      <c r="E47" s="87" t="str">
        <f>P47</f>
        <v>Espanha</v>
      </c>
      <c r="F47" s="127"/>
      <c r="G47" s="88" t="s">
        <v>22</v>
      </c>
      <c r="H47" s="127"/>
      <c r="I47" s="117" t="str">
        <f>P49</f>
        <v>Arábia Saudita</v>
      </c>
      <c r="J47" s="42" t="str">
        <f t="shared" si="133"/>
        <v>empate</v>
      </c>
      <c r="K47" s="42" t="str">
        <f t="shared" si="134"/>
        <v/>
      </c>
      <c r="L47" s="42" t="str">
        <f t="shared" si="135"/>
        <v/>
      </c>
      <c r="M47" s="43" t="str">
        <f t="shared" si="136"/>
        <v>empate</v>
      </c>
      <c r="N47" s="49"/>
      <c r="O47" s="51">
        <f>RANK(Q47,$Q$47:$Q$50)+SUM(Y47:AB47)</f>
        <v>1</v>
      </c>
      <c r="P47" s="53" t="str">
        <f>Sorteios!F22</f>
        <v>Espanha</v>
      </c>
      <c r="Q47" s="42">
        <f>(S47*3)+(T47*1)</f>
        <v>0</v>
      </c>
      <c r="R47" s="42">
        <f>SUM(S47:U47)</f>
        <v>0</v>
      </c>
      <c r="S47" s="42">
        <f>COUNTIF(J:J,P47)</f>
        <v>0</v>
      </c>
      <c r="T47" s="42">
        <f>COUNTIF(K:K,P47)+COUNTIF(L:L,P47)</f>
        <v>0</v>
      </c>
      <c r="U47" s="42">
        <f>COUNTIF(M:M,P47)</f>
        <v>0</v>
      </c>
      <c r="V47" s="42">
        <f>SUMIF(E:E,P47,F:F)+SUMIF(I:I,P47,H:H)</f>
        <v>0</v>
      </c>
      <c r="W47" s="42">
        <f>SUMIF(E:E,P47,H:H)+SUMIF(I:I,P47,F:F)</f>
        <v>0</v>
      </c>
      <c r="X47" s="42">
        <f>V47-W47</f>
        <v>0</v>
      </c>
      <c r="Y47" s="42">
        <f>SUMPRODUCT(($Q$47:$Q$50=Q47)*($X$47:$X$50&gt;X47))</f>
        <v>0</v>
      </c>
      <c r="Z47" s="42">
        <f>SUMPRODUCT(($Q$47:$Q$50=Q47)*($X$47:$X$50=X47)*($V$47:$V$50&gt;V47))</f>
        <v>0</v>
      </c>
      <c r="AA47" s="42">
        <f>SUMPRODUCT(($Q$47:$Q$50=Q47)*($X$47:$X$50=X47)*($V$47:$V$50=V47)*($W$47:$W$50&gt;W47))</f>
        <v>0</v>
      </c>
      <c r="AB47" s="42">
        <f>SUMPRODUCT(($Q$47:$Q$50=Q47)*($X$47:$X$50=X47)*($V$47:$V$50=V47)*($W$47:$W$50=W47)*($AC$47:$AC$50&lt;AC47))</f>
        <v>0</v>
      </c>
      <c r="AC47" s="43">
        <v>1</v>
      </c>
      <c r="AD47" s="49"/>
      <c r="AE47" s="23">
        <v>1</v>
      </c>
      <c r="AF47" s="87" t="str">
        <f>VLOOKUP($AE47,$O$47:$X$50,2,FALSE)</f>
        <v>Espanha</v>
      </c>
      <c r="AG47" s="88">
        <f>VLOOKUP($AE47,$O$47:$X$50,3,FALSE)</f>
        <v>0</v>
      </c>
      <c r="AH47" s="88">
        <f>VLOOKUP($AE47,$O$47:$X$50,4,FALSE)</f>
        <v>0</v>
      </c>
      <c r="AI47" s="88">
        <f>VLOOKUP($AE47,$O$47:$X$50,5,FALSE)</f>
        <v>0</v>
      </c>
      <c r="AJ47" s="88">
        <f>VLOOKUP($AE47,$O$47:$X$50,6,FALSE)</f>
        <v>0</v>
      </c>
      <c r="AK47" s="88">
        <f>VLOOKUP($AE47,$O$47:$X$50,7,FALSE)</f>
        <v>0</v>
      </c>
      <c r="AL47" s="88">
        <f>VLOOKUP($AE47,$O$47:$X$50,8,FALSE)</f>
        <v>0</v>
      </c>
      <c r="AM47" s="88">
        <f>VLOOKUP($AE47,$O$47:$X$50,9,FALSE)</f>
        <v>0</v>
      </c>
      <c r="AN47" s="89">
        <f>VLOOKUP($AE47,$O$47:$X$50,10,FALSE)</f>
        <v>0</v>
      </c>
    </row>
    <row r="48" spans="1:45" x14ac:dyDescent="0.25">
      <c r="A48" s="49"/>
      <c r="B48" s="104" t="s">
        <v>62</v>
      </c>
      <c r="C48" s="99">
        <v>46194</v>
      </c>
      <c r="D48" s="41" t="s">
        <v>21</v>
      </c>
      <c r="E48" s="87" t="str">
        <f>P50</f>
        <v>Uruguai</v>
      </c>
      <c r="F48" s="127"/>
      <c r="G48" s="88" t="s">
        <v>22</v>
      </c>
      <c r="H48" s="127"/>
      <c r="I48" s="117" t="str">
        <f>P48</f>
        <v>Cabo Verde</v>
      </c>
      <c r="J48" s="42" t="str">
        <f t="shared" si="133"/>
        <v>empate</v>
      </c>
      <c r="K48" s="42" t="str">
        <f t="shared" si="134"/>
        <v/>
      </c>
      <c r="L48" s="42" t="str">
        <f t="shared" si="135"/>
        <v/>
      </c>
      <c r="M48" s="43" t="str">
        <f t="shared" si="136"/>
        <v>empate</v>
      </c>
      <c r="N48" s="49"/>
      <c r="O48" s="51">
        <f>RANK(Q48,$Q$47:$Q$50)+SUM(Y48:AB48)</f>
        <v>2</v>
      </c>
      <c r="P48" s="53" t="str">
        <f>Sorteios!F23</f>
        <v>Cabo Verde</v>
      </c>
      <c r="Q48" s="42">
        <f t="shared" ref="Q48:Q50" si="177">(S48*3)+(T48*1)</f>
        <v>0</v>
      </c>
      <c r="R48" s="42">
        <f t="shared" ref="R48:R50" si="178">SUM(S48:U48)</f>
        <v>0</v>
      </c>
      <c r="S48" s="42">
        <f t="shared" ref="S48:S50" si="179">COUNTIF(J:J,P48)</f>
        <v>0</v>
      </c>
      <c r="T48" s="42">
        <f t="shared" ref="T48:T50" si="180">COUNTIF(K:K,P48)+COUNTIF(L:L,P48)</f>
        <v>0</v>
      </c>
      <c r="U48" s="42">
        <f t="shared" ref="U48:U50" si="181">COUNTIF(M:M,P48)</f>
        <v>0</v>
      </c>
      <c r="V48" s="42">
        <f>SUMIF(E:E,P48,F:F)+SUMIF(I:I,P48,H:H)</f>
        <v>0</v>
      </c>
      <c r="W48" s="42">
        <f>SUMIF(E:E,P48,H:H)+SUMIF(I:I,P48,F:F)</f>
        <v>0</v>
      </c>
      <c r="X48" s="42">
        <f t="shared" ref="X48:X50" si="182">V48-W48</f>
        <v>0</v>
      </c>
      <c r="Y48" s="42">
        <f t="shared" ref="Y48:Y50" si="183">SUMPRODUCT(($Q$47:$Q$50=Q48)*($X$47:$X$50&gt;X48))</f>
        <v>0</v>
      </c>
      <c r="Z48" s="42">
        <f t="shared" ref="Z48:Z50" si="184">SUMPRODUCT(($Q$47:$Q$50=Q48)*($X$47:$X$50=X48)*($V$47:$V$50&gt;V48))</f>
        <v>0</v>
      </c>
      <c r="AA48" s="42">
        <f t="shared" ref="AA48:AA50" si="185">SUMPRODUCT(($Q$47:$Q$50=Q48)*($X$47:$X$50=X48)*($V$47:$V$50=V48)*($W$47:$W$50&gt;W48))</f>
        <v>0</v>
      </c>
      <c r="AB48" s="42">
        <f t="shared" ref="AB48:AB50" si="186">SUMPRODUCT(($Q$47:$Q$50=Q48)*($X$47:$X$50=X48)*($V$47:$V$50=V48)*($W$47:$W$50=W48)*($AC$47:$AC$50&lt;AC48))</f>
        <v>1</v>
      </c>
      <c r="AC48" s="43">
        <v>2</v>
      </c>
      <c r="AD48" s="49"/>
      <c r="AE48" s="23">
        <v>2</v>
      </c>
      <c r="AF48" s="87" t="str">
        <f t="shared" ref="AF48:AF50" si="187">VLOOKUP($AE48,$O$47:$X$50,2,FALSE)</f>
        <v>Cabo Verde</v>
      </c>
      <c r="AG48" s="88">
        <f t="shared" ref="AG48:AG50" si="188">VLOOKUP($AE48,$O$47:$X$50,3,FALSE)</f>
        <v>0</v>
      </c>
      <c r="AH48" s="88">
        <f t="shared" ref="AH48:AH50" si="189">VLOOKUP($AE48,$O$47:$X$50,4,FALSE)</f>
        <v>0</v>
      </c>
      <c r="AI48" s="88">
        <f t="shared" ref="AI48:AI50" si="190">VLOOKUP($AE48,$O$47:$X$50,5,FALSE)</f>
        <v>0</v>
      </c>
      <c r="AJ48" s="88">
        <f t="shared" ref="AJ48:AJ50" si="191">VLOOKUP($AE48,$O$47:$X$50,6,FALSE)</f>
        <v>0</v>
      </c>
      <c r="AK48" s="88">
        <f t="shared" ref="AK48:AK50" si="192">VLOOKUP($AE48,$O$47:$X$50,7,FALSE)</f>
        <v>0</v>
      </c>
      <c r="AL48" s="88">
        <f t="shared" ref="AL48:AL50" si="193">VLOOKUP($AE48,$O$47:$X$50,8,FALSE)</f>
        <v>0</v>
      </c>
      <c r="AM48" s="88">
        <f t="shared" ref="AM48:AM50" si="194">VLOOKUP($AE48,$O$47:$X$50,9,FALSE)</f>
        <v>0</v>
      </c>
      <c r="AN48" s="89">
        <f t="shared" ref="AN48:AN50" si="195">VLOOKUP($AE48,$O$47:$X$50,10,FALSE)</f>
        <v>0</v>
      </c>
    </row>
    <row r="49" spans="1:40" x14ac:dyDescent="0.25">
      <c r="A49" s="49"/>
      <c r="B49" s="104" t="s">
        <v>62</v>
      </c>
      <c r="C49" s="99">
        <v>46199</v>
      </c>
      <c r="D49" s="41" t="s">
        <v>47</v>
      </c>
      <c r="E49" s="87" t="str">
        <f>P50</f>
        <v>Uruguai</v>
      </c>
      <c r="F49" s="127"/>
      <c r="G49" s="88" t="s">
        <v>22</v>
      </c>
      <c r="H49" s="127"/>
      <c r="I49" s="117" t="str">
        <f>P47</f>
        <v>Espanha</v>
      </c>
      <c r="J49" s="42" t="str">
        <f t="shared" si="133"/>
        <v>empate</v>
      </c>
      <c r="K49" s="42" t="str">
        <f t="shared" si="134"/>
        <v/>
      </c>
      <c r="L49" s="42" t="str">
        <f t="shared" si="135"/>
        <v/>
      </c>
      <c r="M49" s="43" t="str">
        <f t="shared" si="136"/>
        <v>empate</v>
      </c>
      <c r="N49" s="49"/>
      <c r="O49" s="51">
        <f t="shared" ref="O49:O50" si="196">RANK(Q49,$Q$47:$Q$50)+SUM(Y49:AB49)</f>
        <v>3</v>
      </c>
      <c r="P49" s="53" t="str">
        <f>Sorteios!F24</f>
        <v>Arábia Saudita</v>
      </c>
      <c r="Q49" s="42">
        <f t="shared" si="177"/>
        <v>0</v>
      </c>
      <c r="R49" s="42">
        <f t="shared" si="178"/>
        <v>0</v>
      </c>
      <c r="S49" s="42">
        <f t="shared" si="179"/>
        <v>0</v>
      </c>
      <c r="T49" s="42">
        <f t="shared" si="180"/>
        <v>0</v>
      </c>
      <c r="U49" s="42">
        <f t="shared" si="181"/>
        <v>0</v>
      </c>
      <c r="V49" s="42">
        <f>SUMIF(E:E,P49,F:F)+SUMIF(I:I,P49,H:H)</f>
        <v>0</v>
      </c>
      <c r="W49" s="42">
        <f>SUMIF(E:E,P49,H:H)+SUMIF(I:I,P49,F:F)</f>
        <v>0</v>
      </c>
      <c r="X49" s="42">
        <f t="shared" si="182"/>
        <v>0</v>
      </c>
      <c r="Y49" s="42">
        <f t="shared" si="183"/>
        <v>0</v>
      </c>
      <c r="Z49" s="42">
        <f t="shared" si="184"/>
        <v>0</v>
      </c>
      <c r="AA49" s="42">
        <f t="shared" si="185"/>
        <v>0</v>
      </c>
      <c r="AB49" s="42">
        <f t="shared" si="186"/>
        <v>2</v>
      </c>
      <c r="AC49" s="43">
        <v>3</v>
      </c>
      <c r="AD49" s="49"/>
      <c r="AE49" s="23">
        <v>3</v>
      </c>
      <c r="AF49" s="87" t="str">
        <f t="shared" si="187"/>
        <v>Arábia Saudita</v>
      </c>
      <c r="AG49" s="88">
        <f t="shared" si="188"/>
        <v>0</v>
      </c>
      <c r="AH49" s="88">
        <f t="shared" si="189"/>
        <v>0</v>
      </c>
      <c r="AI49" s="88">
        <f t="shared" si="190"/>
        <v>0</v>
      </c>
      <c r="AJ49" s="88">
        <f t="shared" si="191"/>
        <v>0</v>
      </c>
      <c r="AK49" s="88">
        <f t="shared" si="192"/>
        <v>0</v>
      </c>
      <c r="AL49" s="88">
        <f t="shared" si="193"/>
        <v>0</v>
      </c>
      <c r="AM49" s="88">
        <f t="shared" si="194"/>
        <v>0</v>
      </c>
      <c r="AN49" s="89">
        <f t="shared" si="195"/>
        <v>0</v>
      </c>
    </row>
    <row r="50" spans="1:40" ht="15.75" thickBot="1" x14ac:dyDescent="0.3">
      <c r="A50" s="49"/>
      <c r="B50" s="107" t="s">
        <v>62</v>
      </c>
      <c r="C50" s="102">
        <v>46199</v>
      </c>
      <c r="D50" s="69" t="s">
        <v>47</v>
      </c>
      <c r="E50" s="121" t="str">
        <f>P48</f>
        <v>Cabo Verde</v>
      </c>
      <c r="F50" s="130"/>
      <c r="G50" s="122" t="s">
        <v>22</v>
      </c>
      <c r="H50" s="130"/>
      <c r="I50" s="123" t="str">
        <f>P49</f>
        <v>Arábia Saudita</v>
      </c>
      <c r="J50" s="70" t="str">
        <f t="shared" si="133"/>
        <v>empate</v>
      </c>
      <c r="K50" s="70" t="str">
        <f t="shared" si="134"/>
        <v/>
      </c>
      <c r="L50" s="70" t="str">
        <f t="shared" si="135"/>
        <v/>
      </c>
      <c r="M50" s="71" t="str">
        <f t="shared" si="136"/>
        <v>empate</v>
      </c>
      <c r="N50" s="49"/>
      <c r="O50" s="72">
        <f t="shared" si="196"/>
        <v>4</v>
      </c>
      <c r="P50" s="53" t="str">
        <f>Sorteios!F25</f>
        <v>Uruguai</v>
      </c>
      <c r="Q50" s="57">
        <f t="shared" si="177"/>
        <v>0</v>
      </c>
      <c r="R50" s="57">
        <f t="shared" si="178"/>
        <v>0</v>
      </c>
      <c r="S50" s="42">
        <f t="shared" si="179"/>
        <v>0</v>
      </c>
      <c r="T50" s="42">
        <f t="shared" si="180"/>
        <v>0</v>
      </c>
      <c r="U50" s="42">
        <f t="shared" si="181"/>
        <v>0</v>
      </c>
      <c r="V50" s="57">
        <f>SUMIF(E:E,P50,F:F)+SUMIF(I:I,P50,H:H)</f>
        <v>0</v>
      </c>
      <c r="W50" s="57">
        <f>SUMIF(E:E,P50,H:H)+SUMIF(I:I,P50,F:F)</f>
        <v>0</v>
      </c>
      <c r="X50" s="57">
        <f t="shared" si="182"/>
        <v>0</v>
      </c>
      <c r="Y50" s="57">
        <f t="shared" si="183"/>
        <v>0</v>
      </c>
      <c r="Z50" s="57">
        <f t="shared" si="184"/>
        <v>0</v>
      </c>
      <c r="AA50" s="57">
        <f t="shared" si="185"/>
        <v>0</v>
      </c>
      <c r="AB50" s="57">
        <f t="shared" si="186"/>
        <v>3</v>
      </c>
      <c r="AC50" s="58">
        <v>4</v>
      </c>
      <c r="AD50" s="61"/>
      <c r="AE50" s="24">
        <v>4</v>
      </c>
      <c r="AF50" s="90" t="str">
        <f t="shared" si="187"/>
        <v>Uruguai</v>
      </c>
      <c r="AG50" s="91">
        <f t="shared" si="188"/>
        <v>0</v>
      </c>
      <c r="AH50" s="91">
        <f t="shared" si="189"/>
        <v>0</v>
      </c>
      <c r="AI50" s="91">
        <f t="shared" si="190"/>
        <v>0</v>
      </c>
      <c r="AJ50" s="91">
        <f t="shared" si="191"/>
        <v>0</v>
      </c>
      <c r="AK50" s="91">
        <f t="shared" si="192"/>
        <v>0</v>
      </c>
      <c r="AL50" s="91">
        <f t="shared" si="193"/>
        <v>0</v>
      </c>
      <c r="AM50" s="91">
        <f t="shared" si="194"/>
        <v>0</v>
      </c>
      <c r="AN50" s="92">
        <f t="shared" si="195"/>
        <v>0</v>
      </c>
    </row>
    <row r="51" spans="1:40" x14ac:dyDescent="0.25">
      <c r="A51" s="49"/>
      <c r="B51" s="106" t="s">
        <v>69</v>
      </c>
      <c r="C51" s="101">
        <v>46189</v>
      </c>
      <c r="D51" s="67" t="s">
        <v>46</v>
      </c>
      <c r="E51" s="119" t="str">
        <f>P53</f>
        <v>França</v>
      </c>
      <c r="F51" s="129"/>
      <c r="G51" s="115" t="s">
        <v>22</v>
      </c>
      <c r="H51" s="129"/>
      <c r="I51" s="120" t="str">
        <f>P54</f>
        <v>Senegal</v>
      </c>
      <c r="J51" s="63" t="str">
        <f t="shared" si="133"/>
        <v>empate</v>
      </c>
      <c r="K51" s="63" t="str">
        <f t="shared" si="134"/>
        <v/>
      </c>
      <c r="L51" s="63" t="str">
        <f t="shared" si="135"/>
        <v/>
      </c>
      <c r="M51" s="64" t="str">
        <f t="shared" si="136"/>
        <v>empate</v>
      </c>
      <c r="N51" s="65"/>
      <c r="O51" s="66"/>
      <c r="P51" s="46" t="s">
        <v>64</v>
      </c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8"/>
      <c r="AE51" s="82" t="s">
        <v>64</v>
      </c>
      <c r="AF51" s="83"/>
      <c r="AG51" s="83"/>
      <c r="AH51" s="83"/>
      <c r="AI51" s="83"/>
      <c r="AJ51" s="83"/>
      <c r="AK51" s="83"/>
      <c r="AL51" s="83"/>
      <c r="AM51" s="83"/>
      <c r="AN51" s="84"/>
    </row>
    <row r="52" spans="1:40" x14ac:dyDescent="0.25">
      <c r="A52" s="49"/>
      <c r="B52" s="104" t="s">
        <v>69</v>
      </c>
      <c r="C52" s="99">
        <v>46189</v>
      </c>
      <c r="D52" s="40" t="s">
        <v>24</v>
      </c>
      <c r="E52" s="110" t="str">
        <f>P55</f>
        <v>Iraque</v>
      </c>
      <c r="F52" s="127"/>
      <c r="G52" s="88" t="s">
        <v>22</v>
      </c>
      <c r="H52" s="127"/>
      <c r="I52" s="111" t="str">
        <f>P56</f>
        <v>Noruega</v>
      </c>
      <c r="J52" s="42" t="str">
        <f t="shared" si="133"/>
        <v>empate</v>
      </c>
      <c r="K52" s="42" t="str">
        <f t="shared" si="134"/>
        <v/>
      </c>
      <c r="L52" s="42" t="str">
        <f t="shared" si="135"/>
        <v/>
      </c>
      <c r="M52" s="43" t="str">
        <f t="shared" si="136"/>
        <v>empate</v>
      </c>
      <c r="N52" s="50"/>
      <c r="O52" s="51" t="s">
        <v>25</v>
      </c>
      <c r="P52" s="18" t="s">
        <v>26</v>
      </c>
      <c r="Q52" s="42" t="s">
        <v>27</v>
      </c>
      <c r="R52" s="42" t="s">
        <v>28</v>
      </c>
      <c r="S52" s="42" t="s">
        <v>29</v>
      </c>
      <c r="T52" s="42" t="s">
        <v>30</v>
      </c>
      <c r="U52" s="42" t="s">
        <v>31</v>
      </c>
      <c r="V52" s="42" t="s">
        <v>32</v>
      </c>
      <c r="W52" s="42" t="s">
        <v>33</v>
      </c>
      <c r="X52" s="42" t="s">
        <v>34</v>
      </c>
      <c r="Y52" s="42" t="s">
        <v>35</v>
      </c>
      <c r="Z52" s="42" t="s">
        <v>36</v>
      </c>
      <c r="AA52" s="42" t="s">
        <v>37</v>
      </c>
      <c r="AB52" s="42" t="s">
        <v>38</v>
      </c>
      <c r="AC52" s="43" t="s">
        <v>39</v>
      </c>
      <c r="AD52" s="49"/>
      <c r="AE52" s="23" t="s">
        <v>40</v>
      </c>
      <c r="AF52" s="85" t="s">
        <v>17</v>
      </c>
      <c r="AG52" s="85" t="s">
        <v>41</v>
      </c>
      <c r="AH52" s="85" t="s">
        <v>42</v>
      </c>
      <c r="AI52" s="85" t="s">
        <v>43</v>
      </c>
      <c r="AJ52" s="85" t="s">
        <v>44</v>
      </c>
      <c r="AK52" s="85" t="s">
        <v>45</v>
      </c>
      <c r="AL52" s="85" t="s">
        <v>32</v>
      </c>
      <c r="AM52" s="85" t="s">
        <v>33</v>
      </c>
      <c r="AN52" s="86" t="s">
        <v>34</v>
      </c>
    </row>
    <row r="53" spans="1:40" x14ac:dyDescent="0.25">
      <c r="A53" s="49"/>
      <c r="B53" s="104" t="s">
        <v>69</v>
      </c>
      <c r="C53" s="99">
        <v>46195</v>
      </c>
      <c r="D53" s="40" t="s">
        <v>24</v>
      </c>
      <c r="E53" s="110" t="str">
        <f>P53</f>
        <v>França</v>
      </c>
      <c r="F53" s="127"/>
      <c r="G53" s="88" t="s">
        <v>22</v>
      </c>
      <c r="H53" s="127"/>
      <c r="I53" s="111" t="str">
        <f>P55</f>
        <v>Iraque</v>
      </c>
      <c r="J53" s="42" t="str">
        <f t="shared" si="133"/>
        <v>empate</v>
      </c>
      <c r="K53" s="42" t="str">
        <f t="shared" si="134"/>
        <v/>
      </c>
      <c r="L53" s="42" t="str">
        <f t="shared" si="135"/>
        <v/>
      </c>
      <c r="M53" s="43" t="str">
        <f t="shared" si="136"/>
        <v>empate</v>
      </c>
      <c r="N53" s="50"/>
      <c r="O53" s="51">
        <f>RANK(Q53,$Q$53:$Q$56)+SUM(Y53:AB53)</f>
        <v>1</v>
      </c>
      <c r="P53" s="53" t="str">
        <f>Sorteios!I22</f>
        <v>França</v>
      </c>
      <c r="Q53" s="42">
        <f>(S53*3)+(T53*1)</f>
        <v>0</v>
      </c>
      <c r="R53" s="42">
        <f>SUM(S53:U53)</f>
        <v>0</v>
      </c>
      <c r="S53" s="42">
        <f>COUNTIF(J:J,P53)</f>
        <v>0</v>
      </c>
      <c r="T53" s="42">
        <f>COUNTIF(K:K,P53)+COUNTIF(L:L,P53)</f>
        <v>0</v>
      </c>
      <c r="U53" s="42">
        <f>COUNTIF(M:M,P53)</f>
        <v>0</v>
      </c>
      <c r="V53" s="42">
        <f>SUMIF(E:E,P53,F:F)+SUMIF(I:I,P53,H:H)</f>
        <v>0</v>
      </c>
      <c r="W53" s="42">
        <f>SUMIF(E:E,P53,H:H)+SUMIF(I:I,P53,F:F)</f>
        <v>0</v>
      </c>
      <c r="X53" s="42">
        <f>V53-W53</f>
        <v>0</v>
      </c>
      <c r="Y53" s="42">
        <f>SUMPRODUCT(($Q$53:$Q$56=Q53)*($X$53:$X$56&gt;X53))</f>
        <v>0</v>
      </c>
      <c r="Z53" s="42">
        <f>SUMPRODUCT(($Q$53:$Q$56=Q53)*($X$53:$X$56=X53)*($V$53:$V$56&gt;V53))</f>
        <v>0</v>
      </c>
      <c r="AA53" s="42">
        <f>SUMPRODUCT(($Q$53:$Q$56=Q53)*($X$53:$X$56=X53)*($V$53:$V$56=V53)*($W$53:$W$56&gt;W53))</f>
        <v>0</v>
      </c>
      <c r="AB53" s="42">
        <f>SUMPRODUCT(($Q$53:$Q$56=Q53)*($X$53:$X$56=X53)*($V$53:$V$56=V53)*($W$53:$W$56=W53)*($AC$53:$AC$56&lt;AC53))</f>
        <v>0</v>
      </c>
      <c r="AC53" s="43">
        <v>1</v>
      </c>
      <c r="AD53" s="49"/>
      <c r="AE53" s="23">
        <v>1</v>
      </c>
      <c r="AF53" s="87" t="str">
        <f>VLOOKUP($AE53,$O$53:$X$56,2,FALSE)</f>
        <v>França</v>
      </c>
      <c r="AG53" s="88">
        <f>VLOOKUP($AE53,$O$53:$X$56,3,FALSE)</f>
        <v>0</v>
      </c>
      <c r="AH53" s="88">
        <f>VLOOKUP($AE53,$O$53:$X$56,4,FALSE)</f>
        <v>0</v>
      </c>
      <c r="AI53" s="88">
        <f>VLOOKUP($AE53,$O$53:$X$56,5,FALSE)</f>
        <v>0</v>
      </c>
      <c r="AJ53" s="88">
        <f>VLOOKUP($AE53,$O$53:$X$56,6,FALSE)</f>
        <v>0</v>
      </c>
      <c r="AK53" s="88">
        <f>VLOOKUP($AE53,$O$53:$X$56,7,FALSE)</f>
        <v>0</v>
      </c>
      <c r="AL53" s="88">
        <f>VLOOKUP($AE53,$O$53:$X$56,8,FALSE)</f>
        <v>0</v>
      </c>
      <c r="AM53" s="88">
        <f>VLOOKUP($AE53,$O$53:$X$56,9,FALSE)</f>
        <v>0</v>
      </c>
      <c r="AN53" s="89">
        <f>VLOOKUP($AE53,$O$53:$X$56,10,FALSE)</f>
        <v>0</v>
      </c>
    </row>
    <row r="54" spans="1:40" x14ac:dyDescent="0.25">
      <c r="A54" s="49"/>
      <c r="B54" s="104" t="s">
        <v>69</v>
      </c>
      <c r="C54" s="99">
        <v>46195</v>
      </c>
      <c r="D54" s="40" t="s">
        <v>46</v>
      </c>
      <c r="E54" s="110" t="str">
        <f>P56</f>
        <v>Noruega</v>
      </c>
      <c r="F54" s="127"/>
      <c r="G54" s="88" t="s">
        <v>22</v>
      </c>
      <c r="H54" s="127"/>
      <c r="I54" s="111" t="str">
        <f>P54</f>
        <v>Senegal</v>
      </c>
      <c r="J54" s="42" t="str">
        <f t="shared" si="133"/>
        <v>empate</v>
      </c>
      <c r="K54" s="42" t="str">
        <f t="shared" si="134"/>
        <v/>
      </c>
      <c r="L54" s="42" t="str">
        <f t="shared" si="135"/>
        <v/>
      </c>
      <c r="M54" s="43" t="str">
        <f t="shared" si="136"/>
        <v>empate</v>
      </c>
      <c r="N54" s="50"/>
      <c r="O54" s="51">
        <f t="shared" ref="O54:O56" si="197">RANK(Q54,$Q$53:$Q$56)+SUM(Y54:AB54)</f>
        <v>2</v>
      </c>
      <c r="P54" s="53" t="str">
        <f>Sorteios!I23</f>
        <v>Senegal</v>
      </c>
      <c r="Q54" s="42">
        <f t="shared" ref="Q54:Q56" si="198">(S54*3)+(T54*1)</f>
        <v>0</v>
      </c>
      <c r="R54" s="42">
        <f t="shared" ref="R54:R56" si="199">SUM(S54:U54)</f>
        <v>0</v>
      </c>
      <c r="S54" s="42">
        <f t="shared" ref="S54:S56" si="200">COUNTIF(J:J,P54)</f>
        <v>0</v>
      </c>
      <c r="T54" s="42">
        <f t="shared" ref="T54:T56" si="201">COUNTIF(K:K,P54)+COUNTIF(L:L,P54)</f>
        <v>0</v>
      </c>
      <c r="U54" s="42">
        <f t="shared" ref="U54:U56" si="202">COUNTIF(M:M,P54)</f>
        <v>0</v>
      </c>
      <c r="V54" s="42">
        <f>SUMIF(E:E,P54,F:F)+SUMIF(I:I,P54,H:H)</f>
        <v>0</v>
      </c>
      <c r="W54" s="42">
        <f>SUMIF(E:E,P54,H:H)+SUMIF(I:I,P54,F:F)</f>
        <v>0</v>
      </c>
      <c r="X54" s="42">
        <f t="shared" ref="X54:X56" si="203">V54-W54</f>
        <v>0</v>
      </c>
      <c r="Y54" s="42">
        <f t="shared" ref="Y54:Y56" si="204">SUMPRODUCT(($Q$53:$Q$56=Q54)*($X$53:$X$56&gt;X54))</f>
        <v>0</v>
      </c>
      <c r="Z54" s="42">
        <f t="shared" ref="Z54:Z56" si="205">SUMPRODUCT(($Q$53:$Q$56=Q54)*($X$53:$X$56=X54)*($V$53:$V$56&gt;V54))</f>
        <v>0</v>
      </c>
      <c r="AA54" s="42">
        <f t="shared" ref="AA54:AA56" si="206">SUMPRODUCT(($Q$53:$Q$56=Q54)*($X$53:$X$56=X54)*($V$53:$V$56=V54)*($W$53:$W$56&gt;W54))</f>
        <v>0</v>
      </c>
      <c r="AB54" s="42">
        <f t="shared" ref="AB54:AB56" si="207">SUMPRODUCT(($Q$53:$Q$56=Q54)*($X$53:$X$56=X54)*($V$53:$V$56=V54)*($W$53:$W$56=W54)*($AC$53:$AC$56&lt;AC54))</f>
        <v>1</v>
      </c>
      <c r="AC54" s="43">
        <v>2</v>
      </c>
      <c r="AD54" s="49"/>
      <c r="AE54" s="23">
        <v>2</v>
      </c>
      <c r="AF54" s="87" t="str">
        <f t="shared" ref="AF54:AF56" si="208">VLOOKUP($AE54,$O$53:$X$56,2,FALSE)</f>
        <v>Senegal</v>
      </c>
      <c r="AG54" s="88">
        <f t="shared" ref="AG54:AG56" si="209">VLOOKUP($AE54,$O$53:$X$56,3,FALSE)</f>
        <v>0</v>
      </c>
      <c r="AH54" s="88">
        <f t="shared" ref="AH54:AH56" si="210">VLOOKUP($AE54,$O$53:$X$56,4,FALSE)</f>
        <v>0</v>
      </c>
      <c r="AI54" s="88">
        <f t="shared" ref="AI54:AI56" si="211">VLOOKUP($AE54,$O$53:$X$56,5,FALSE)</f>
        <v>0</v>
      </c>
      <c r="AJ54" s="88">
        <f t="shared" ref="AJ54:AJ56" si="212">VLOOKUP($AE54,$O$53:$X$56,6,FALSE)</f>
        <v>0</v>
      </c>
      <c r="AK54" s="88">
        <f t="shared" ref="AK54:AK56" si="213">VLOOKUP($AE54,$O$53:$X$56,7,FALSE)</f>
        <v>0</v>
      </c>
      <c r="AL54" s="88">
        <f t="shared" ref="AL54:AL56" si="214">VLOOKUP($AE54,$O$53:$X$56,8,FALSE)</f>
        <v>0</v>
      </c>
      <c r="AM54" s="88">
        <f t="shared" ref="AM54:AM56" si="215">VLOOKUP($AE54,$O$53:$X$56,9,FALSE)</f>
        <v>0</v>
      </c>
      <c r="AN54" s="89">
        <f t="shared" ref="AN54:AN55" si="216">VLOOKUP($AE54,$O$53:$X$56,10,FALSE)</f>
        <v>0</v>
      </c>
    </row>
    <row r="55" spans="1:40" x14ac:dyDescent="0.25">
      <c r="A55" s="49"/>
      <c r="B55" s="104" t="s">
        <v>69</v>
      </c>
      <c r="C55" s="99">
        <v>46199</v>
      </c>
      <c r="D55" s="40" t="s">
        <v>46</v>
      </c>
      <c r="E55" s="110" t="str">
        <f>P56</f>
        <v>Noruega</v>
      </c>
      <c r="F55" s="127"/>
      <c r="G55" s="88" t="s">
        <v>22</v>
      </c>
      <c r="H55" s="127"/>
      <c r="I55" s="111" t="str">
        <f>P53</f>
        <v>França</v>
      </c>
      <c r="J55" s="42" t="str">
        <f t="shared" si="133"/>
        <v>empate</v>
      </c>
      <c r="K55" s="42" t="str">
        <f t="shared" si="134"/>
        <v/>
      </c>
      <c r="L55" s="42" t="str">
        <f t="shared" si="135"/>
        <v/>
      </c>
      <c r="M55" s="43" t="str">
        <f t="shared" si="136"/>
        <v>empate</v>
      </c>
      <c r="N55" s="50"/>
      <c r="O55" s="51">
        <f t="shared" si="197"/>
        <v>3</v>
      </c>
      <c r="P55" s="53" t="str">
        <f>Sorteios!I24</f>
        <v>Iraque</v>
      </c>
      <c r="Q55" s="42">
        <f t="shared" si="198"/>
        <v>0</v>
      </c>
      <c r="R55" s="42">
        <f t="shared" si="199"/>
        <v>0</v>
      </c>
      <c r="S55" s="42">
        <f t="shared" si="200"/>
        <v>0</v>
      </c>
      <c r="T55" s="42">
        <f t="shared" si="201"/>
        <v>0</v>
      </c>
      <c r="U55" s="42">
        <f t="shared" si="202"/>
        <v>0</v>
      </c>
      <c r="V55" s="42">
        <f>SUMIF(E:E,P55,F:F)+SUMIF(I:I,P55,H:H)</f>
        <v>0</v>
      </c>
      <c r="W55" s="42">
        <f>SUMIF(E:E,P55,H:H)+SUMIF(I:I,P55,F:F)</f>
        <v>0</v>
      </c>
      <c r="X55" s="42">
        <f t="shared" si="203"/>
        <v>0</v>
      </c>
      <c r="Y55" s="42">
        <f t="shared" si="204"/>
        <v>0</v>
      </c>
      <c r="Z55" s="42">
        <f t="shared" si="205"/>
        <v>0</v>
      </c>
      <c r="AA55" s="42">
        <f t="shared" si="206"/>
        <v>0</v>
      </c>
      <c r="AB55" s="42">
        <f t="shared" si="207"/>
        <v>2</v>
      </c>
      <c r="AC55" s="43">
        <v>3</v>
      </c>
      <c r="AD55" s="49"/>
      <c r="AE55" s="23">
        <v>3</v>
      </c>
      <c r="AF55" s="87" t="str">
        <f t="shared" si="208"/>
        <v>Iraque</v>
      </c>
      <c r="AG55" s="88">
        <f t="shared" si="209"/>
        <v>0</v>
      </c>
      <c r="AH55" s="88">
        <f t="shared" si="210"/>
        <v>0</v>
      </c>
      <c r="AI55" s="88">
        <f t="shared" si="211"/>
        <v>0</v>
      </c>
      <c r="AJ55" s="88">
        <f t="shared" si="212"/>
        <v>0</v>
      </c>
      <c r="AK55" s="88">
        <f t="shared" si="213"/>
        <v>0</v>
      </c>
      <c r="AL55" s="88">
        <f t="shared" si="214"/>
        <v>0</v>
      </c>
      <c r="AM55" s="88">
        <f t="shared" si="215"/>
        <v>0</v>
      </c>
      <c r="AN55" s="89">
        <f t="shared" si="216"/>
        <v>0</v>
      </c>
    </row>
    <row r="56" spans="1:40" ht="15.75" thickBot="1" x14ac:dyDescent="0.3">
      <c r="A56" s="49"/>
      <c r="B56" s="105" t="s">
        <v>69</v>
      </c>
      <c r="C56" s="100">
        <v>46199</v>
      </c>
      <c r="D56" s="55" t="s">
        <v>46</v>
      </c>
      <c r="E56" s="112" t="str">
        <f>P54</f>
        <v>Senegal</v>
      </c>
      <c r="F56" s="128"/>
      <c r="G56" s="91" t="s">
        <v>22</v>
      </c>
      <c r="H56" s="128"/>
      <c r="I56" s="113" t="str">
        <f>P55</f>
        <v>Iraque</v>
      </c>
      <c r="J56" s="57" t="str">
        <f t="shared" si="133"/>
        <v>empate</v>
      </c>
      <c r="K56" s="57" t="str">
        <f t="shared" si="134"/>
        <v/>
      </c>
      <c r="L56" s="57" t="str">
        <f t="shared" si="135"/>
        <v/>
      </c>
      <c r="M56" s="58" t="str">
        <f t="shared" si="136"/>
        <v>empate</v>
      </c>
      <c r="N56" s="59"/>
      <c r="O56" s="51">
        <f t="shared" si="197"/>
        <v>4</v>
      </c>
      <c r="P56" s="73" t="str">
        <f>Sorteios!I25</f>
        <v>Noruega</v>
      </c>
      <c r="Q56" s="70">
        <f t="shared" si="198"/>
        <v>0</v>
      </c>
      <c r="R56" s="70">
        <f t="shared" si="199"/>
        <v>0</v>
      </c>
      <c r="S56" s="70">
        <f t="shared" si="200"/>
        <v>0</v>
      </c>
      <c r="T56" s="70">
        <f t="shared" si="201"/>
        <v>0</v>
      </c>
      <c r="U56" s="70">
        <f t="shared" si="202"/>
        <v>0</v>
      </c>
      <c r="V56" s="70">
        <f>SUMIF(E:E,P56,F:F)+SUMIF(I:I,P56,H:H)</f>
        <v>0</v>
      </c>
      <c r="W56" s="70">
        <f>SUMIF(E:E,P56,H:H)+SUMIF(I:I,P56,F:F)</f>
        <v>0</v>
      </c>
      <c r="X56" s="70">
        <f t="shared" si="203"/>
        <v>0</v>
      </c>
      <c r="Y56" s="70">
        <f t="shared" si="204"/>
        <v>0</v>
      </c>
      <c r="Z56" s="70">
        <f t="shared" si="205"/>
        <v>0</v>
      </c>
      <c r="AA56" s="70">
        <f t="shared" si="206"/>
        <v>0</v>
      </c>
      <c r="AB56" s="70">
        <f t="shared" si="207"/>
        <v>3</v>
      </c>
      <c r="AC56" s="71">
        <v>4</v>
      </c>
      <c r="AD56" s="49"/>
      <c r="AE56" s="24">
        <v>4</v>
      </c>
      <c r="AF56" s="90" t="str">
        <f t="shared" si="208"/>
        <v>Noruega</v>
      </c>
      <c r="AG56" s="91">
        <f t="shared" si="209"/>
        <v>0</v>
      </c>
      <c r="AH56" s="91">
        <f t="shared" si="210"/>
        <v>0</v>
      </c>
      <c r="AI56" s="91">
        <f t="shared" si="211"/>
        <v>0</v>
      </c>
      <c r="AJ56" s="91">
        <f t="shared" si="212"/>
        <v>0</v>
      </c>
      <c r="AK56" s="91">
        <f t="shared" si="213"/>
        <v>0</v>
      </c>
      <c r="AL56" s="91">
        <f t="shared" si="214"/>
        <v>0</v>
      </c>
      <c r="AM56" s="91">
        <f t="shared" si="215"/>
        <v>0</v>
      </c>
      <c r="AN56" s="92">
        <f>VLOOKUP($AE56,$O$53:$X$56,10,FALSE)</f>
        <v>0</v>
      </c>
    </row>
    <row r="57" spans="1:40" x14ac:dyDescent="0.25">
      <c r="A57" s="49"/>
      <c r="B57" s="108" t="s">
        <v>42</v>
      </c>
      <c r="C57" s="103">
        <v>46189</v>
      </c>
      <c r="D57" s="74" t="s">
        <v>21</v>
      </c>
      <c r="E57" s="124" t="str">
        <f>P59</f>
        <v>Argentina</v>
      </c>
      <c r="F57" s="131"/>
      <c r="G57" s="125" t="s">
        <v>22</v>
      </c>
      <c r="H57" s="131"/>
      <c r="I57" s="126" t="str">
        <f>P60</f>
        <v>Argélia</v>
      </c>
      <c r="J57" s="75" t="str">
        <f t="shared" si="133"/>
        <v>empate</v>
      </c>
      <c r="K57" s="75" t="str">
        <f t="shared" si="134"/>
        <v/>
      </c>
      <c r="L57" s="75" t="str">
        <f t="shared" si="135"/>
        <v/>
      </c>
      <c r="M57" s="76" t="str">
        <f t="shared" si="136"/>
        <v>empate</v>
      </c>
      <c r="N57" s="49"/>
      <c r="O57" s="77"/>
      <c r="P57" s="46" t="s">
        <v>65</v>
      </c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8"/>
      <c r="AE57" s="82" t="s">
        <v>65</v>
      </c>
      <c r="AF57" s="83"/>
      <c r="AG57" s="83"/>
      <c r="AH57" s="83"/>
      <c r="AI57" s="83"/>
      <c r="AJ57" s="83"/>
      <c r="AK57" s="83"/>
      <c r="AL57" s="83"/>
      <c r="AM57" s="83"/>
      <c r="AN57" s="84"/>
    </row>
    <row r="58" spans="1:40" x14ac:dyDescent="0.25">
      <c r="A58" s="49"/>
      <c r="B58" s="104" t="s">
        <v>42</v>
      </c>
      <c r="C58" s="99">
        <v>46189</v>
      </c>
      <c r="D58" s="41" t="s">
        <v>24</v>
      </c>
      <c r="E58" s="87" t="str">
        <f>P61</f>
        <v>Áustria</v>
      </c>
      <c r="F58" s="127"/>
      <c r="G58" s="88" t="s">
        <v>22</v>
      </c>
      <c r="H58" s="127"/>
      <c r="I58" s="117" t="str">
        <f>P62</f>
        <v>Jordânia</v>
      </c>
      <c r="J58" s="42" t="str">
        <f t="shared" si="133"/>
        <v>empate</v>
      </c>
      <c r="K58" s="42" t="str">
        <f t="shared" si="134"/>
        <v/>
      </c>
      <c r="L58" s="42" t="str">
        <f t="shared" si="135"/>
        <v/>
      </c>
      <c r="M58" s="43" t="str">
        <f t="shared" si="136"/>
        <v>empate</v>
      </c>
      <c r="N58" s="49"/>
      <c r="O58" s="51" t="s">
        <v>25</v>
      </c>
      <c r="P58" s="18" t="s">
        <v>26</v>
      </c>
      <c r="Q58" s="42" t="s">
        <v>27</v>
      </c>
      <c r="R58" s="42" t="s">
        <v>28</v>
      </c>
      <c r="S58" s="42" t="s">
        <v>29</v>
      </c>
      <c r="T58" s="42" t="s">
        <v>30</v>
      </c>
      <c r="U58" s="42" t="s">
        <v>31</v>
      </c>
      <c r="V58" s="42" t="s">
        <v>32</v>
      </c>
      <c r="W58" s="42" t="s">
        <v>33</v>
      </c>
      <c r="X58" s="42" t="s">
        <v>34</v>
      </c>
      <c r="Y58" s="42" t="s">
        <v>35</v>
      </c>
      <c r="Z58" s="42" t="s">
        <v>36</v>
      </c>
      <c r="AA58" s="42" t="s">
        <v>37</v>
      </c>
      <c r="AB58" s="42" t="s">
        <v>38</v>
      </c>
      <c r="AC58" s="43" t="s">
        <v>39</v>
      </c>
      <c r="AD58" s="49"/>
      <c r="AE58" s="23" t="s">
        <v>40</v>
      </c>
      <c r="AF58" s="85" t="s">
        <v>17</v>
      </c>
      <c r="AG58" s="85" t="s">
        <v>41</v>
      </c>
      <c r="AH58" s="85" t="s">
        <v>42</v>
      </c>
      <c r="AI58" s="85" t="s">
        <v>43</v>
      </c>
      <c r="AJ58" s="85" t="s">
        <v>44</v>
      </c>
      <c r="AK58" s="85" t="s">
        <v>45</v>
      </c>
      <c r="AL58" s="85" t="s">
        <v>32</v>
      </c>
      <c r="AM58" s="85" t="s">
        <v>33</v>
      </c>
      <c r="AN58" s="86" t="s">
        <v>34</v>
      </c>
    </row>
    <row r="59" spans="1:40" x14ac:dyDescent="0.25">
      <c r="A59" s="49"/>
      <c r="B59" s="104" t="s">
        <v>42</v>
      </c>
      <c r="C59" s="99">
        <v>46195</v>
      </c>
      <c r="D59" s="41" t="s">
        <v>46</v>
      </c>
      <c r="E59" s="87" t="str">
        <f>P59</f>
        <v>Argentina</v>
      </c>
      <c r="F59" s="127"/>
      <c r="G59" s="88" t="s">
        <v>22</v>
      </c>
      <c r="H59" s="127"/>
      <c r="I59" s="117" t="str">
        <f>P61</f>
        <v>Áustria</v>
      </c>
      <c r="J59" s="42" t="str">
        <f t="shared" si="133"/>
        <v>empate</v>
      </c>
      <c r="K59" s="42" t="str">
        <f t="shared" si="134"/>
        <v/>
      </c>
      <c r="L59" s="42" t="str">
        <f t="shared" si="135"/>
        <v/>
      </c>
      <c r="M59" s="43" t="str">
        <f t="shared" si="136"/>
        <v>empate</v>
      </c>
      <c r="N59" s="49"/>
      <c r="O59" s="51">
        <f>RANK(Q59,$Q$59:$Q$62)+SUM(Y59:AB59)</f>
        <v>1</v>
      </c>
      <c r="P59" s="53" t="str">
        <f>Sorteios!C30</f>
        <v>Argentina</v>
      </c>
      <c r="Q59" s="42">
        <f>(S59*3)+(T59*1)</f>
        <v>0</v>
      </c>
      <c r="R59" s="42">
        <f>SUM(S59:U59)</f>
        <v>0</v>
      </c>
      <c r="S59" s="42">
        <f>COUNTIF(J:J,P59)</f>
        <v>0</v>
      </c>
      <c r="T59" s="42">
        <f>COUNTIF(K:K,P59)+COUNTIF(L:L,P59)</f>
        <v>0</v>
      </c>
      <c r="U59" s="42">
        <f>COUNTIF(M:M,P59)</f>
        <v>0</v>
      </c>
      <c r="V59" s="42">
        <f>SUMIF(E:E,P59,F:F)+SUMIF(I:I,P59,H:H)</f>
        <v>0</v>
      </c>
      <c r="W59" s="42">
        <f>SUMIF(E:E,P59,H:H)+SUMIF(I:I,P59,F:F)</f>
        <v>0</v>
      </c>
      <c r="X59" s="42">
        <f>V59-W59</f>
        <v>0</v>
      </c>
      <c r="Y59" s="42">
        <f>SUMPRODUCT(($Q$59:$Q$62=Q59)*($X$59:$X$62&gt;X59))</f>
        <v>0</v>
      </c>
      <c r="Z59" s="42">
        <f>SUMPRODUCT(($Q$59:$Q$62=Q59)*($X$59:$X$62=X59)*($V$59:$V$62&gt;V59))</f>
        <v>0</v>
      </c>
      <c r="AA59" s="42">
        <f>SUMPRODUCT(($Q$59:$Q$62=Q59)*($X$59:$X$62=X59)*($V$59:$V$62=V59)*($W$59:$W$62&gt;W59))</f>
        <v>0</v>
      </c>
      <c r="AB59" s="42">
        <f>SUMPRODUCT(($Q$59:$Q$62=Q59)*($X$59:$X$62=X59)*($V$59:$V$62=V59)*($W$59:$W$62=W59)*($AC$59:$AC$62&lt;AC59))</f>
        <v>0</v>
      </c>
      <c r="AC59" s="43">
        <v>1</v>
      </c>
      <c r="AD59" s="49"/>
      <c r="AE59" s="23">
        <v>1</v>
      </c>
      <c r="AF59" s="87" t="str">
        <f>VLOOKUP($AE59,$O$59:$X$62,2,FALSE)</f>
        <v>Argentina</v>
      </c>
      <c r="AG59" s="88">
        <f>VLOOKUP($AE59,$O$59:$X$62,3,FALSE)</f>
        <v>0</v>
      </c>
      <c r="AH59" s="88">
        <f>VLOOKUP($AE59,$O$59:$X$62,4,FALSE)</f>
        <v>0</v>
      </c>
      <c r="AI59" s="88">
        <f>VLOOKUP($AE59,$O$59:$X$62,5,FALSE)</f>
        <v>0</v>
      </c>
      <c r="AJ59" s="88">
        <f>VLOOKUP($AE59,$O$59:$X$62,6,FALSE)</f>
        <v>0</v>
      </c>
      <c r="AK59" s="88">
        <f>VLOOKUP($AE59,$O$59:$X$62,7,FALSE)</f>
        <v>0</v>
      </c>
      <c r="AL59" s="88">
        <f>VLOOKUP($AE59,$O$59:$X$62,8,FALSE)</f>
        <v>0</v>
      </c>
      <c r="AM59" s="88">
        <f>VLOOKUP($AE59,$O$59:$X$62,9,FALSE)</f>
        <v>0</v>
      </c>
      <c r="AN59" s="89">
        <f>VLOOKUP($AE59,$O$59:$X$62,10,FALSE)</f>
        <v>0</v>
      </c>
    </row>
    <row r="60" spans="1:40" x14ac:dyDescent="0.25">
      <c r="A60" s="49"/>
      <c r="B60" s="104" t="s">
        <v>42</v>
      </c>
      <c r="C60" s="99">
        <v>46195</v>
      </c>
      <c r="D60" s="41" t="s">
        <v>21</v>
      </c>
      <c r="E60" s="87" t="str">
        <f>P62</f>
        <v>Jordânia</v>
      </c>
      <c r="F60" s="127"/>
      <c r="G60" s="88" t="s">
        <v>22</v>
      </c>
      <c r="H60" s="127"/>
      <c r="I60" s="117" t="str">
        <f>P60</f>
        <v>Argélia</v>
      </c>
      <c r="J60" s="42" t="str">
        <f t="shared" si="133"/>
        <v>empate</v>
      </c>
      <c r="K60" s="42" t="str">
        <f t="shared" si="134"/>
        <v/>
      </c>
      <c r="L60" s="42" t="str">
        <f t="shared" si="135"/>
        <v/>
      </c>
      <c r="M60" s="43" t="str">
        <f t="shared" si="136"/>
        <v>empate</v>
      </c>
      <c r="N60" s="49"/>
      <c r="O60" s="51">
        <f t="shared" ref="O60:O62" si="217">RANK(Q60,$Q$59:$Q$62)+SUM(Y60:AB60)</f>
        <v>2</v>
      </c>
      <c r="P60" s="53" t="str">
        <f>Sorteios!C31</f>
        <v>Argélia</v>
      </c>
      <c r="Q60" s="42">
        <f t="shared" ref="Q60:Q62" si="218">(S60*3)+(T60*1)</f>
        <v>0</v>
      </c>
      <c r="R60" s="42">
        <f t="shared" ref="R60:R62" si="219">SUM(S60:U60)</f>
        <v>0</v>
      </c>
      <c r="S60" s="42">
        <f t="shared" ref="S60:S62" si="220">COUNTIF(J:J,P60)</f>
        <v>0</v>
      </c>
      <c r="T60" s="42">
        <f t="shared" ref="T60:T62" si="221">COUNTIF(K:K,P60)+COUNTIF(L:L,P60)</f>
        <v>0</v>
      </c>
      <c r="U60" s="42">
        <f t="shared" ref="U60:U62" si="222">COUNTIF(M:M,P60)</f>
        <v>0</v>
      </c>
      <c r="V60" s="42">
        <f>SUMIF(E:E,P60,F:F)+SUMIF(I:I,P60,H:H)</f>
        <v>0</v>
      </c>
      <c r="W60" s="42">
        <f>SUMIF(E:E,P60,H:H)+SUMIF(I:I,P60,F:F)</f>
        <v>0</v>
      </c>
      <c r="X60" s="42">
        <f t="shared" ref="X60:X62" si="223">V60-W60</f>
        <v>0</v>
      </c>
      <c r="Y60" s="42">
        <f t="shared" ref="Y60:Y62" si="224">SUMPRODUCT(($Q$59:$Q$62=Q60)*($X$59:$X$62&gt;X60))</f>
        <v>0</v>
      </c>
      <c r="Z60" s="42">
        <f t="shared" ref="Z60:Z62" si="225">SUMPRODUCT(($Q$59:$Q$62=Q60)*($X$59:$X$62=X60)*($V$59:$V$62&gt;V60))</f>
        <v>0</v>
      </c>
      <c r="AA60" s="42">
        <f t="shared" ref="AA60:AA62" si="226">SUMPRODUCT(($Q$59:$Q$62=Q60)*($X$59:$X$62=X60)*($V$59:$V$62=V60)*($W$59:$W$62&gt;W60))</f>
        <v>0</v>
      </c>
      <c r="AB60" s="42">
        <f t="shared" ref="AB60:AB62" si="227">SUMPRODUCT(($Q$59:$Q$62=Q60)*($X$59:$X$62=X60)*($V$59:$V$62=V60)*($W$59:$W$62=W60)*($AC$59:$AC$62&lt;AC60))</f>
        <v>1</v>
      </c>
      <c r="AC60" s="43">
        <v>2</v>
      </c>
      <c r="AD60" s="49"/>
      <c r="AE60" s="23">
        <v>2</v>
      </c>
      <c r="AF60" s="87" t="str">
        <f t="shared" ref="AF60:AF62" si="228">VLOOKUP($AE60,$O$59:$X$62,2,FALSE)</f>
        <v>Argélia</v>
      </c>
      <c r="AG60" s="88">
        <f t="shared" ref="AG60:AG61" si="229">VLOOKUP($AE60,$O$59:$X$62,3,FALSE)</f>
        <v>0</v>
      </c>
      <c r="AH60" s="88">
        <f t="shared" ref="AH60:AH62" si="230">VLOOKUP($AE60,$O$59:$X$62,4,FALSE)</f>
        <v>0</v>
      </c>
      <c r="AI60" s="88">
        <f t="shared" ref="AI60:AI62" si="231">VLOOKUP($AE60,$O$59:$X$62,5,FALSE)</f>
        <v>0</v>
      </c>
      <c r="AJ60" s="88">
        <f t="shared" ref="AJ60:AJ62" si="232">VLOOKUP($AE60,$O$59:$X$62,6,FALSE)</f>
        <v>0</v>
      </c>
      <c r="AK60" s="88">
        <f t="shared" ref="AK60:AK62" si="233">VLOOKUP($AE60,$O$59:$X$62,7,FALSE)</f>
        <v>0</v>
      </c>
      <c r="AL60" s="88">
        <f t="shared" ref="AL60:AL62" si="234">VLOOKUP($AE60,$O$59:$X$62,8,FALSE)</f>
        <v>0</v>
      </c>
      <c r="AM60" s="88">
        <f t="shared" ref="AM60:AM62" si="235">VLOOKUP($AE60,$O$59:$X$62,9,FALSE)</f>
        <v>0</v>
      </c>
      <c r="AN60" s="89">
        <f t="shared" ref="AN60:AN62" si="236">VLOOKUP($AE60,$O$59:$X$62,10,FALSE)</f>
        <v>0</v>
      </c>
    </row>
    <row r="61" spans="1:40" x14ac:dyDescent="0.25">
      <c r="A61" s="49"/>
      <c r="B61" s="104" t="s">
        <v>42</v>
      </c>
      <c r="C61" s="99">
        <v>46200</v>
      </c>
      <c r="D61" s="41" t="s">
        <v>47</v>
      </c>
      <c r="E61" s="87" t="str">
        <f>P62</f>
        <v>Jordânia</v>
      </c>
      <c r="F61" s="127"/>
      <c r="G61" s="88" t="s">
        <v>22</v>
      </c>
      <c r="H61" s="127"/>
      <c r="I61" s="117" t="str">
        <f>P59</f>
        <v>Argentina</v>
      </c>
      <c r="J61" s="42" t="str">
        <f t="shared" si="133"/>
        <v>empate</v>
      </c>
      <c r="K61" s="42" t="str">
        <f t="shared" si="134"/>
        <v/>
      </c>
      <c r="L61" s="42" t="str">
        <f t="shared" si="135"/>
        <v/>
      </c>
      <c r="M61" s="43" t="str">
        <f t="shared" si="136"/>
        <v>empate</v>
      </c>
      <c r="N61" s="49"/>
      <c r="O61" s="51">
        <f>RANK(Q61,$Q$59:$Q$62)+SUM(Y61:AB61)</f>
        <v>3</v>
      </c>
      <c r="P61" s="53" t="str">
        <f>Sorteios!C32</f>
        <v>Áustria</v>
      </c>
      <c r="Q61" s="42">
        <f>(S61*3)+(T61*1)</f>
        <v>0</v>
      </c>
      <c r="R61" s="42">
        <f>SUM(S61:U61)</f>
        <v>0</v>
      </c>
      <c r="S61" s="42">
        <f>COUNTIF(J:J,P61)</f>
        <v>0</v>
      </c>
      <c r="T61" s="42">
        <f>COUNTIF(K:K,P61)+COUNTIF(L:L,P61)</f>
        <v>0</v>
      </c>
      <c r="U61" s="42">
        <f>COUNTIF(M:M,P61)</f>
        <v>0</v>
      </c>
      <c r="V61" s="42">
        <f>SUMIF(E:E,P61,F:F)+SUMIF(I:I,P61,H:H)</f>
        <v>0</v>
      </c>
      <c r="W61" s="42">
        <f>SUMIF(E:E,P61,H:H)+SUMIF(I:I,P61,F:F)</f>
        <v>0</v>
      </c>
      <c r="X61" s="42">
        <f>V61-W61</f>
        <v>0</v>
      </c>
      <c r="Y61" s="42">
        <f t="shared" si="224"/>
        <v>0</v>
      </c>
      <c r="Z61" s="42">
        <f t="shared" si="225"/>
        <v>0</v>
      </c>
      <c r="AA61" s="42">
        <f t="shared" si="226"/>
        <v>0</v>
      </c>
      <c r="AB61" s="42">
        <f t="shared" si="227"/>
        <v>2</v>
      </c>
      <c r="AC61" s="43">
        <v>3</v>
      </c>
      <c r="AD61" s="49"/>
      <c r="AE61" s="23">
        <v>3</v>
      </c>
      <c r="AF61" s="87" t="str">
        <f t="shared" si="228"/>
        <v>Áustria</v>
      </c>
      <c r="AG61" s="88">
        <f t="shared" si="229"/>
        <v>0</v>
      </c>
      <c r="AH61" s="88">
        <f t="shared" si="230"/>
        <v>0</v>
      </c>
      <c r="AI61" s="88">
        <f t="shared" si="231"/>
        <v>0</v>
      </c>
      <c r="AJ61" s="88">
        <f t="shared" si="232"/>
        <v>0</v>
      </c>
      <c r="AK61" s="88">
        <f t="shared" si="233"/>
        <v>0</v>
      </c>
      <c r="AL61" s="88">
        <f t="shared" si="234"/>
        <v>0</v>
      </c>
      <c r="AM61" s="88">
        <f t="shared" si="235"/>
        <v>0</v>
      </c>
      <c r="AN61" s="89">
        <f t="shared" si="236"/>
        <v>0</v>
      </c>
    </row>
    <row r="62" spans="1:40" ht="15.75" thickBot="1" x14ac:dyDescent="0.3">
      <c r="A62" s="49"/>
      <c r="B62" s="107" t="s">
        <v>42</v>
      </c>
      <c r="C62" s="102">
        <v>46200</v>
      </c>
      <c r="D62" s="69" t="s">
        <v>47</v>
      </c>
      <c r="E62" s="121" t="str">
        <f>P60</f>
        <v>Argélia</v>
      </c>
      <c r="F62" s="130"/>
      <c r="G62" s="122" t="s">
        <v>22</v>
      </c>
      <c r="H62" s="130"/>
      <c r="I62" s="123" t="str">
        <f>P61</f>
        <v>Áustria</v>
      </c>
      <c r="J62" s="70" t="str">
        <f t="shared" si="133"/>
        <v>empate</v>
      </c>
      <c r="K62" s="70" t="str">
        <f t="shared" si="134"/>
        <v/>
      </c>
      <c r="L62" s="70" t="str">
        <f t="shared" si="135"/>
        <v/>
      </c>
      <c r="M62" s="71" t="str">
        <f t="shared" si="136"/>
        <v>empate</v>
      </c>
      <c r="N62" s="49"/>
      <c r="O62" s="72">
        <f t="shared" si="217"/>
        <v>4</v>
      </c>
      <c r="P62" s="53" t="str">
        <f>Sorteios!C33</f>
        <v>Jordânia</v>
      </c>
      <c r="Q62" s="57">
        <f t="shared" si="218"/>
        <v>0</v>
      </c>
      <c r="R62" s="57">
        <f t="shared" si="219"/>
        <v>0</v>
      </c>
      <c r="S62" s="42">
        <f t="shared" si="220"/>
        <v>0</v>
      </c>
      <c r="T62" s="42">
        <f t="shared" si="221"/>
        <v>0</v>
      </c>
      <c r="U62" s="42">
        <f t="shared" si="222"/>
        <v>0</v>
      </c>
      <c r="V62" s="57">
        <f>SUMIF(E:E,P62,F:F)+SUMIF(I:I,P62,H:H)</f>
        <v>0</v>
      </c>
      <c r="W62" s="57">
        <f>SUMIF(E:E,P62,H:H)+SUMIF(I:I,P62,F:F)</f>
        <v>0</v>
      </c>
      <c r="X62" s="57">
        <f t="shared" si="223"/>
        <v>0</v>
      </c>
      <c r="Y62" s="57">
        <f t="shared" si="224"/>
        <v>0</v>
      </c>
      <c r="Z62" s="57">
        <f t="shared" si="225"/>
        <v>0</v>
      </c>
      <c r="AA62" s="57">
        <f t="shared" si="226"/>
        <v>0</v>
      </c>
      <c r="AB62" s="57">
        <f t="shared" si="227"/>
        <v>3</v>
      </c>
      <c r="AC62" s="58">
        <v>4</v>
      </c>
      <c r="AD62" s="61"/>
      <c r="AE62" s="24">
        <v>4</v>
      </c>
      <c r="AF62" s="90" t="str">
        <f t="shared" si="228"/>
        <v>Jordânia</v>
      </c>
      <c r="AG62" s="91">
        <f>VLOOKUP($AE62,$O$59:$X$62,3,FALSE)</f>
        <v>0</v>
      </c>
      <c r="AH62" s="91">
        <f t="shared" si="230"/>
        <v>0</v>
      </c>
      <c r="AI62" s="91">
        <f t="shared" si="231"/>
        <v>0</v>
      </c>
      <c r="AJ62" s="91">
        <f t="shared" si="232"/>
        <v>0</v>
      </c>
      <c r="AK62" s="91">
        <f t="shared" si="233"/>
        <v>0</v>
      </c>
      <c r="AL62" s="91">
        <f t="shared" si="234"/>
        <v>0</v>
      </c>
      <c r="AM62" s="91">
        <f t="shared" si="235"/>
        <v>0</v>
      </c>
      <c r="AN62" s="92">
        <f t="shared" si="236"/>
        <v>0</v>
      </c>
    </row>
    <row r="63" spans="1:40" x14ac:dyDescent="0.25">
      <c r="A63" s="49"/>
      <c r="B63" s="106" t="s">
        <v>70</v>
      </c>
      <c r="C63" s="101">
        <v>46190</v>
      </c>
      <c r="D63" s="67" t="s">
        <v>21</v>
      </c>
      <c r="E63" s="119" t="str">
        <f>P65</f>
        <v>Portugal</v>
      </c>
      <c r="F63" s="129"/>
      <c r="G63" s="115" t="s">
        <v>22</v>
      </c>
      <c r="H63" s="129"/>
      <c r="I63" s="120" t="str">
        <f>P66</f>
        <v>RD Congo</v>
      </c>
      <c r="J63" s="63" t="str">
        <f t="shared" si="133"/>
        <v>empate</v>
      </c>
      <c r="K63" s="63" t="str">
        <f t="shared" si="134"/>
        <v/>
      </c>
      <c r="L63" s="63" t="str">
        <f t="shared" si="135"/>
        <v/>
      </c>
      <c r="M63" s="64" t="str">
        <f t="shared" si="136"/>
        <v>empate</v>
      </c>
      <c r="N63" s="65"/>
      <c r="O63" s="66"/>
      <c r="P63" s="46" t="s">
        <v>66</v>
      </c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8"/>
      <c r="AE63" s="82" t="s">
        <v>66</v>
      </c>
      <c r="AF63" s="83"/>
      <c r="AG63" s="83"/>
      <c r="AH63" s="83"/>
      <c r="AI63" s="83"/>
      <c r="AJ63" s="83"/>
      <c r="AK63" s="83"/>
      <c r="AL63" s="83"/>
      <c r="AM63" s="83"/>
      <c r="AN63" s="84"/>
    </row>
    <row r="64" spans="1:40" x14ac:dyDescent="0.25">
      <c r="A64" s="49"/>
      <c r="B64" s="104" t="s">
        <v>70</v>
      </c>
      <c r="C64" s="99">
        <v>46190</v>
      </c>
      <c r="D64" s="40" t="s">
        <v>46</v>
      </c>
      <c r="E64" s="110" t="str">
        <f>P67</f>
        <v>Uzbequistão</v>
      </c>
      <c r="F64" s="127"/>
      <c r="G64" s="88" t="s">
        <v>22</v>
      </c>
      <c r="H64" s="127"/>
      <c r="I64" s="111" t="str">
        <f>P68</f>
        <v>Colômbia</v>
      </c>
      <c r="J64" s="42" t="str">
        <f t="shared" si="133"/>
        <v>empate</v>
      </c>
      <c r="K64" s="42" t="str">
        <f t="shared" si="134"/>
        <v/>
      </c>
      <c r="L64" s="42" t="str">
        <f t="shared" si="135"/>
        <v/>
      </c>
      <c r="M64" s="43" t="str">
        <f t="shared" si="136"/>
        <v>empate</v>
      </c>
      <c r="N64" s="50"/>
      <c r="O64" s="51" t="s">
        <v>25</v>
      </c>
      <c r="P64" s="18" t="s">
        <v>26</v>
      </c>
      <c r="Q64" s="42" t="s">
        <v>27</v>
      </c>
      <c r="R64" s="42" t="s">
        <v>28</v>
      </c>
      <c r="S64" s="42" t="s">
        <v>29</v>
      </c>
      <c r="T64" s="42" t="s">
        <v>30</v>
      </c>
      <c r="U64" s="42" t="s">
        <v>31</v>
      </c>
      <c r="V64" s="42" t="s">
        <v>32</v>
      </c>
      <c r="W64" s="42" t="s">
        <v>33</v>
      </c>
      <c r="X64" s="42" t="s">
        <v>34</v>
      </c>
      <c r="Y64" s="42" t="s">
        <v>35</v>
      </c>
      <c r="Z64" s="42" t="s">
        <v>36</v>
      </c>
      <c r="AA64" s="42" t="s">
        <v>37</v>
      </c>
      <c r="AB64" s="42" t="s">
        <v>38</v>
      </c>
      <c r="AC64" s="43" t="s">
        <v>39</v>
      </c>
      <c r="AD64" s="49"/>
      <c r="AE64" s="23" t="s">
        <v>40</v>
      </c>
      <c r="AF64" s="85" t="s">
        <v>17</v>
      </c>
      <c r="AG64" s="85" t="s">
        <v>41</v>
      </c>
      <c r="AH64" s="85" t="s">
        <v>42</v>
      </c>
      <c r="AI64" s="85" t="s">
        <v>43</v>
      </c>
      <c r="AJ64" s="85" t="s">
        <v>44</v>
      </c>
      <c r="AK64" s="85" t="s">
        <v>45</v>
      </c>
      <c r="AL64" s="85" t="s">
        <v>32</v>
      </c>
      <c r="AM64" s="85" t="s">
        <v>33</v>
      </c>
      <c r="AN64" s="86" t="s">
        <v>34</v>
      </c>
    </row>
    <row r="65" spans="1:40" x14ac:dyDescent="0.25">
      <c r="A65" s="49"/>
      <c r="B65" s="104" t="s">
        <v>70</v>
      </c>
      <c r="C65" s="99">
        <v>46196</v>
      </c>
      <c r="D65" s="40" t="s">
        <v>24</v>
      </c>
      <c r="E65" s="110" t="str">
        <f>P65</f>
        <v>Portugal</v>
      </c>
      <c r="F65" s="127"/>
      <c r="G65" s="88" t="s">
        <v>22</v>
      </c>
      <c r="H65" s="127"/>
      <c r="I65" s="111" t="str">
        <f>P67</f>
        <v>Uzbequistão</v>
      </c>
      <c r="J65" s="42" t="str">
        <f t="shared" si="133"/>
        <v>empate</v>
      </c>
      <c r="K65" s="42" t="str">
        <f t="shared" si="134"/>
        <v/>
      </c>
      <c r="L65" s="42" t="str">
        <f t="shared" si="135"/>
        <v/>
      </c>
      <c r="M65" s="43" t="str">
        <f t="shared" si="136"/>
        <v>empate</v>
      </c>
      <c r="N65" s="50"/>
      <c r="O65" s="51">
        <f>RANK(Q65,$Q$65:$Q$68)+SUM(Y65:AB65)</f>
        <v>1</v>
      </c>
      <c r="P65" s="53" t="str">
        <f>Sorteios!F30</f>
        <v>Portugal</v>
      </c>
      <c r="Q65" s="42">
        <f>(S65*3)+(T65*1)</f>
        <v>0</v>
      </c>
      <c r="R65" s="42">
        <f>SUM(S65:U65)</f>
        <v>0</v>
      </c>
      <c r="S65" s="42">
        <f>COUNTIF(J:J,P65)</f>
        <v>0</v>
      </c>
      <c r="T65" s="42">
        <f>COUNTIF(K:K,P65)+COUNTIF(L:L,P65)</f>
        <v>0</v>
      </c>
      <c r="U65" s="42">
        <f>COUNTIF(M:M,P65)</f>
        <v>0</v>
      </c>
      <c r="V65" s="42">
        <f>SUMIF(E:E,P65,F:F)+SUMIF(I:I,P65,H:H)</f>
        <v>0</v>
      </c>
      <c r="W65" s="42">
        <f>SUMIF(E:E,P65,H:H)+SUMIF(I:I,P65,F:F)</f>
        <v>0</v>
      </c>
      <c r="X65" s="42">
        <f>V65-W65</f>
        <v>0</v>
      </c>
      <c r="Y65" s="42">
        <f>SUMPRODUCT(($Q$65:$Q$68=Q65)*($X$65:$X$68&gt;X65))</f>
        <v>0</v>
      </c>
      <c r="Z65" s="42">
        <f>SUMPRODUCT(($Q$65:$Q$68=Q65)*($X$65:$X$68=X65)*($V$65:$V$68&gt;V65))</f>
        <v>0</v>
      </c>
      <c r="AA65" s="42">
        <f>SUMPRODUCT(($Q$65:$Q$68=Q65)*($X$65:$X$68=X65)*($V$65:$V$68=V65)*($W$65:$W$68&gt;W65))</f>
        <v>0</v>
      </c>
      <c r="AB65" s="42">
        <f>SUMPRODUCT(($Q$65:$Q$68=Q65)*($X$65:$X$68=X65)*($V$65:$V$68=V65)*($W$65:$W$68=W65)*($AC$65:$AC$68&lt;AC65))</f>
        <v>0</v>
      </c>
      <c r="AC65" s="43">
        <v>1</v>
      </c>
      <c r="AD65" s="49"/>
      <c r="AE65" s="23">
        <v>1</v>
      </c>
      <c r="AF65" s="87" t="str">
        <f>VLOOKUP($AE65,$O$65:$X$68,2,FALSE)</f>
        <v>Portugal</v>
      </c>
      <c r="AG65" s="88">
        <f>VLOOKUP($AE65,$O$65:$X$68,3,FALSE)</f>
        <v>0</v>
      </c>
      <c r="AH65" s="88">
        <f>VLOOKUP($AE65,$O$65:$X$68,4,FALSE)</f>
        <v>0</v>
      </c>
      <c r="AI65" s="88">
        <f>VLOOKUP($AE65,$O$65:$X$68,5,FALSE)</f>
        <v>0</v>
      </c>
      <c r="AJ65" s="88">
        <f>VLOOKUP($AE65,$O$65:$X$68,6,FALSE)</f>
        <v>0</v>
      </c>
      <c r="AK65" s="88">
        <f>VLOOKUP($AE65,$O$65:$X$68,7,FALSE)</f>
        <v>0</v>
      </c>
      <c r="AL65" s="88">
        <f>VLOOKUP($AE65,$O$65:$X$68,8,FALSE)</f>
        <v>0</v>
      </c>
      <c r="AM65" s="88">
        <f>VLOOKUP($AE65,$O$65:$X$68,9,FALSE)</f>
        <v>0</v>
      </c>
      <c r="AN65" s="89">
        <f>VLOOKUP($AE65,$O$65:$X$68,10,FALSE)</f>
        <v>0</v>
      </c>
    </row>
    <row r="66" spans="1:40" x14ac:dyDescent="0.25">
      <c r="A66" s="49"/>
      <c r="B66" s="104" t="s">
        <v>70</v>
      </c>
      <c r="C66" s="99">
        <v>46196</v>
      </c>
      <c r="D66" s="40" t="s">
        <v>24</v>
      </c>
      <c r="E66" s="110" t="str">
        <f>P68</f>
        <v>Colômbia</v>
      </c>
      <c r="F66" s="127"/>
      <c r="G66" s="88" t="s">
        <v>22</v>
      </c>
      <c r="H66" s="127"/>
      <c r="I66" s="111" t="str">
        <f>P66</f>
        <v>RD Congo</v>
      </c>
      <c r="J66" s="42" t="str">
        <f t="shared" si="133"/>
        <v>empate</v>
      </c>
      <c r="K66" s="42" t="str">
        <f t="shared" si="134"/>
        <v/>
      </c>
      <c r="L66" s="42" t="str">
        <f t="shared" si="135"/>
        <v/>
      </c>
      <c r="M66" s="43" t="str">
        <f t="shared" si="136"/>
        <v>empate</v>
      </c>
      <c r="N66" s="50"/>
      <c r="O66" s="51">
        <f t="shared" ref="O66:O68" si="237">RANK(Q66,$Q$65:$Q$68)+SUM(Y66:AB66)</f>
        <v>2</v>
      </c>
      <c r="P66" s="53" t="str">
        <f>Sorteios!F31</f>
        <v>RD Congo</v>
      </c>
      <c r="Q66" s="42">
        <f t="shared" ref="Q66:Q68" si="238">(S66*3)+(T66*1)</f>
        <v>0</v>
      </c>
      <c r="R66" s="42">
        <f t="shared" ref="R66:R68" si="239">SUM(S66:U66)</f>
        <v>0</v>
      </c>
      <c r="S66" s="42">
        <f t="shared" ref="S66:S68" si="240">COUNTIF(J:J,P66)</f>
        <v>0</v>
      </c>
      <c r="T66" s="42">
        <f t="shared" ref="T66:T68" si="241">COUNTIF(K:K,P66)+COUNTIF(L:L,P66)</f>
        <v>0</v>
      </c>
      <c r="U66" s="42">
        <f t="shared" ref="U66:U68" si="242">COUNTIF(M:M,P66)</f>
        <v>0</v>
      </c>
      <c r="V66" s="42">
        <f>SUMIF(E:E,P66,F:F)+SUMIF(I:I,P66,H:H)</f>
        <v>0</v>
      </c>
      <c r="W66" s="42">
        <f>SUMIF(E:E,P66,H:H)+SUMIF(I:I,P66,F:F)</f>
        <v>0</v>
      </c>
      <c r="X66" s="42">
        <f t="shared" ref="X66:X68" si="243">V66-W66</f>
        <v>0</v>
      </c>
      <c r="Y66" s="42">
        <f t="shared" ref="Y66:Y68" si="244">SUMPRODUCT(($Q$65:$Q$68=Q66)*($X$65:$X$68&gt;X66))</f>
        <v>0</v>
      </c>
      <c r="Z66" s="42">
        <f t="shared" ref="Z66:Z68" si="245">SUMPRODUCT(($Q$65:$Q$68=Q66)*($X$65:$X$68=X66)*($V$65:$V$68&gt;V66))</f>
        <v>0</v>
      </c>
      <c r="AA66" s="42">
        <f t="shared" ref="AA66:AA67" si="246">SUMPRODUCT(($Q$65:$Q$68=Q66)*($X$65:$X$68=X66)*($V$65:$V$68=V66)*($W$65:$W$68&gt;W66))</f>
        <v>0</v>
      </c>
      <c r="AB66" s="42">
        <f t="shared" ref="AB66:AB68" si="247">SUMPRODUCT(($Q$65:$Q$68=Q66)*($X$65:$X$68=X66)*($V$65:$V$68=V66)*($W$65:$W$68=W66)*($AC$65:$AC$68&lt;AC66))</f>
        <v>1</v>
      </c>
      <c r="AC66" s="43">
        <v>2</v>
      </c>
      <c r="AD66" s="49"/>
      <c r="AE66" s="23">
        <v>2</v>
      </c>
      <c r="AF66" s="87" t="str">
        <f t="shared" ref="AF66:AF68" si="248">VLOOKUP($AE66,$O$65:$X$68,2,FALSE)</f>
        <v>RD Congo</v>
      </c>
      <c r="AG66" s="88">
        <f t="shared" ref="AG66:AG68" si="249">VLOOKUP($AE66,$O$65:$X$68,3,FALSE)</f>
        <v>0</v>
      </c>
      <c r="AH66" s="88">
        <f t="shared" ref="AH66:AH68" si="250">VLOOKUP($AE66,$O$65:$X$68,4,FALSE)</f>
        <v>0</v>
      </c>
      <c r="AI66" s="88">
        <f t="shared" ref="AI66:AI68" si="251">VLOOKUP($AE66,$O$65:$X$68,5,FALSE)</f>
        <v>0</v>
      </c>
      <c r="AJ66" s="88">
        <f t="shared" ref="AJ66:AJ68" si="252">VLOOKUP($AE66,$O$65:$X$68,6,FALSE)</f>
        <v>0</v>
      </c>
      <c r="AK66" s="88">
        <f t="shared" ref="AK66:AK68" si="253">VLOOKUP($AE66,$O$65:$X$68,7,FALSE)</f>
        <v>0</v>
      </c>
      <c r="AL66" s="88">
        <f t="shared" ref="AL66:AL68" si="254">VLOOKUP($AE66,$O$65:$X$68,8,FALSE)</f>
        <v>0</v>
      </c>
      <c r="AM66" s="88">
        <f t="shared" ref="AM66:AM68" si="255">VLOOKUP($AE66,$O$65:$X$68,9,FALSE)</f>
        <v>0</v>
      </c>
      <c r="AN66" s="89">
        <f t="shared" ref="AN66:AN68" si="256">VLOOKUP($AE66,$O$65:$X$68,10,FALSE)</f>
        <v>0</v>
      </c>
    </row>
    <row r="67" spans="1:40" x14ac:dyDescent="0.25">
      <c r="A67" s="49"/>
      <c r="B67" s="104" t="s">
        <v>70</v>
      </c>
      <c r="C67" s="99">
        <v>46200</v>
      </c>
      <c r="D67" s="40" t="s">
        <v>46</v>
      </c>
      <c r="E67" s="110" t="str">
        <f>P68</f>
        <v>Colômbia</v>
      </c>
      <c r="F67" s="127"/>
      <c r="G67" s="88" t="s">
        <v>22</v>
      </c>
      <c r="H67" s="127"/>
      <c r="I67" s="111" t="str">
        <f>P65</f>
        <v>Portugal</v>
      </c>
      <c r="J67" s="42" t="str">
        <f t="shared" ref="J67:J74" si="257">IF(F67=H67,"empate",IF(F67&gt;H67,E67,I67))</f>
        <v>empate</v>
      </c>
      <c r="K67" s="42" t="str">
        <f t="shared" ref="K67:K74" si="258">IF(F67="","",IF(H67="","",IF(J67="empate",E67,"")))</f>
        <v/>
      </c>
      <c r="L67" s="42" t="str">
        <f t="shared" ref="L67:L74" si="259">IF(E67="","",IF(F67="","",IF(M67="empate",I67,"")))</f>
        <v/>
      </c>
      <c r="M67" s="43" t="str">
        <f t="shared" ref="M67:M74" si="260">IF(F67=H67,"empate",IF(F67&lt;H67,E67,I67))</f>
        <v>empate</v>
      </c>
      <c r="N67" s="50"/>
      <c r="O67" s="51">
        <f t="shared" si="237"/>
        <v>3</v>
      </c>
      <c r="P67" s="53" t="str">
        <f>Sorteios!F32</f>
        <v>Uzbequistão</v>
      </c>
      <c r="Q67" s="42">
        <f t="shared" si="238"/>
        <v>0</v>
      </c>
      <c r="R67" s="42">
        <f t="shared" si="239"/>
        <v>0</v>
      </c>
      <c r="S67" s="42">
        <f t="shared" si="240"/>
        <v>0</v>
      </c>
      <c r="T67" s="42">
        <f t="shared" si="241"/>
        <v>0</v>
      </c>
      <c r="U67" s="42">
        <f t="shared" si="242"/>
        <v>0</v>
      </c>
      <c r="V67" s="42">
        <f>SUMIF(E:E,P67,F:F)+SUMIF(I:I,P67,H:H)</f>
        <v>0</v>
      </c>
      <c r="W67" s="42">
        <f>SUMIF(E:E,P67,H:H)+SUMIF(I:I,P67,F:F)</f>
        <v>0</v>
      </c>
      <c r="X67" s="42">
        <f t="shared" si="243"/>
        <v>0</v>
      </c>
      <c r="Y67" s="42">
        <f t="shared" si="244"/>
        <v>0</v>
      </c>
      <c r="Z67" s="42">
        <f t="shared" si="245"/>
        <v>0</v>
      </c>
      <c r="AA67" s="42">
        <f t="shared" si="246"/>
        <v>0</v>
      </c>
      <c r="AB67" s="42">
        <f t="shared" si="247"/>
        <v>2</v>
      </c>
      <c r="AC67" s="43">
        <v>3</v>
      </c>
      <c r="AD67" s="49"/>
      <c r="AE67" s="23">
        <v>3</v>
      </c>
      <c r="AF67" s="87" t="str">
        <f t="shared" si="248"/>
        <v>Uzbequistão</v>
      </c>
      <c r="AG67" s="88">
        <f t="shared" si="249"/>
        <v>0</v>
      </c>
      <c r="AH67" s="88">
        <f t="shared" si="250"/>
        <v>0</v>
      </c>
      <c r="AI67" s="88">
        <f t="shared" si="251"/>
        <v>0</v>
      </c>
      <c r="AJ67" s="88">
        <f t="shared" si="252"/>
        <v>0</v>
      </c>
      <c r="AK67" s="88">
        <f t="shared" si="253"/>
        <v>0</v>
      </c>
      <c r="AL67" s="88">
        <f t="shared" si="254"/>
        <v>0</v>
      </c>
      <c r="AM67" s="88">
        <f t="shared" si="255"/>
        <v>0</v>
      </c>
      <c r="AN67" s="89">
        <f t="shared" si="256"/>
        <v>0</v>
      </c>
    </row>
    <row r="68" spans="1:40" ht="15.75" thickBot="1" x14ac:dyDescent="0.3">
      <c r="A68" s="49"/>
      <c r="B68" s="105" t="s">
        <v>70</v>
      </c>
      <c r="C68" s="100">
        <v>46200</v>
      </c>
      <c r="D68" s="55" t="s">
        <v>46</v>
      </c>
      <c r="E68" s="112" t="str">
        <f>P66</f>
        <v>RD Congo</v>
      </c>
      <c r="F68" s="128"/>
      <c r="G68" s="91" t="s">
        <v>22</v>
      </c>
      <c r="H68" s="128"/>
      <c r="I68" s="113" t="str">
        <f>P67</f>
        <v>Uzbequistão</v>
      </c>
      <c r="J68" s="57" t="str">
        <f t="shared" si="257"/>
        <v>empate</v>
      </c>
      <c r="K68" s="57" t="str">
        <f t="shared" si="258"/>
        <v/>
      </c>
      <c r="L68" s="57" t="str">
        <f t="shared" si="259"/>
        <v/>
      </c>
      <c r="M68" s="58" t="str">
        <f t="shared" si="260"/>
        <v>empate</v>
      </c>
      <c r="N68" s="59"/>
      <c r="O68" s="60">
        <f t="shared" si="237"/>
        <v>4</v>
      </c>
      <c r="P68" s="78" t="str">
        <f>Sorteios!F33</f>
        <v>Colômbia</v>
      </c>
      <c r="Q68" s="57">
        <f t="shared" si="238"/>
        <v>0</v>
      </c>
      <c r="R68" s="57">
        <f t="shared" si="239"/>
        <v>0</v>
      </c>
      <c r="S68" s="57">
        <f t="shared" si="240"/>
        <v>0</v>
      </c>
      <c r="T68" s="57">
        <f t="shared" si="241"/>
        <v>0</v>
      </c>
      <c r="U68" s="57">
        <f t="shared" si="242"/>
        <v>0</v>
      </c>
      <c r="V68" s="57">
        <f>SUMIF(E:E,P68,F:F)+SUMIF(I:I,P68,H:H)</f>
        <v>0</v>
      </c>
      <c r="W68" s="57">
        <f>SUMIF(E:E,P68,H:H)+SUMIF(I:I,P68,F:F)</f>
        <v>0</v>
      </c>
      <c r="X68" s="57">
        <f t="shared" si="243"/>
        <v>0</v>
      </c>
      <c r="Y68" s="57">
        <f t="shared" si="244"/>
        <v>0</v>
      </c>
      <c r="Z68" s="57">
        <f t="shared" si="245"/>
        <v>0</v>
      </c>
      <c r="AA68" s="57">
        <f>SUMPRODUCT(($Q$65:$Q$68=Q68)*($X$65:$X$68=X68)*($V$65:$V$68=V68)*($W$65:$W$68&gt;W68))</f>
        <v>0</v>
      </c>
      <c r="AB68" s="57">
        <f t="shared" si="247"/>
        <v>3</v>
      </c>
      <c r="AC68" s="58">
        <v>4</v>
      </c>
      <c r="AD68" s="61"/>
      <c r="AE68" s="24">
        <v>4</v>
      </c>
      <c r="AF68" s="90" t="str">
        <f t="shared" si="248"/>
        <v>Colômbia</v>
      </c>
      <c r="AG68" s="91">
        <f t="shared" si="249"/>
        <v>0</v>
      </c>
      <c r="AH68" s="91">
        <f t="shared" si="250"/>
        <v>0</v>
      </c>
      <c r="AI68" s="91">
        <f t="shared" si="251"/>
        <v>0</v>
      </c>
      <c r="AJ68" s="91">
        <f t="shared" si="252"/>
        <v>0</v>
      </c>
      <c r="AK68" s="91">
        <f t="shared" si="253"/>
        <v>0</v>
      </c>
      <c r="AL68" s="91">
        <f t="shared" si="254"/>
        <v>0</v>
      </c>
      <c r="AM68" s="91">
        <f t="shared" si="255"/>
        <v>0</v>
      </c>
      <c r="AN68" s="92">
        <f t="shared" si="256"/>
        <v>0</v>
      </c>
    </row>
    <row r="69" spans="1:40" x14ac:dyDescent="0.25">
      <c r="A69" s="49"/>
      <c r="B69" s="106" t="s">
        <v>71</v>
      </c>
      <c r="C69" s="101">
        <v>46190</v>
      </c>
      <c r="D69" s="62" t="s">
        <v>21</v>
      </c>
      <c r="E69" s="114" t="str">
        <f>P71</f>
        <v>Inglaterra</v>
      </c>
      <c r="F69" s="129"/>
      <c r="G69" s="115" t="s">
        <v>22</v>
      </c>
      <c r="H69" s="129"/>
      <c r="I69" s="116" t="str">
        <f>P72</f>
        <v>Croácia</v>
      </c>
      <c r="J69" s="63" t="str">
        <f t="shared" si="257"/>
        <v>empate</v>
      </c>
      <c r="K69" s="63" t="str">
        <f t="shared" si="258"/>
        <v/>
      </c>
      <c r="L69" s="63" t="str">
        <f t="shared" si="259"/>
        <v/>
      </c>
      <c r="M69" s="64" t="str">
        <f t="shared" si="260"/>
        <v>empate</v>
      </c>
      <c r="N69" s="68"/>
      <c r="O69" s="66"/>
      <c r="P69" s="46" t="s">
        <v>67</v>
      </c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8"/>
      <c r="AE69" s="82" t="s">
        <v>67</v>
      </c>
      <c r="AF69" s="83"/>
      <c r="AG69" s="83"/>
      <c r="AH69" s="83"/>
      <c r="AI69" s="83"/>
      <c r="AJ69" s="83"/>
      <c r="AK69" s="83"/>
      <c r="AL69" s="83"/>
      <c r="AM69" s="83"/>
      <c r="AN69" s="84"/>
    </row>
    <row r="70" spans="1:40" x14ac:dyDescent="0.25">
      <c r="A70" s="49"/>
      <c r="B70" s="104" t="s">
        <v>71</v>
      </c>
      <c r="C70" s="99">
        <v>46190</v>
      </c>
      <c r="D70" s="41" t="s">
        <v>24</v>
      </c>
      <c r="E70" s="87" t="str">
        <f>P73</f>
        <v>Gana</v>
      </c>
      <c r="F70" s="127"/>
      <c r="G70" s="88" t="s">
        <v>22</v>
      </c>
      <c r="H70" s="127"/>
      <c r="I70" s="117" t="str">
        <f>P74</f>
        <v>Panamá</v>
      </c>
      <c r="J70" s="42" t="str">
        <f t="shared" si="257"/>
        <v>empate</v>
      </c>
      <c r="K70" s="42" t="str">
        <f t="shared" si="258"/>
        <v/>
      </c>
      <c r="L70" s="42" t="str">
        <f t="shared" si="259"/>
        <v/>
      </c>
      <c r="M70" s="43" t="str">
        <f t="shared" si="260"/>
        <v>empate</v>
      </c>
      <c r="N70" s="49"/>
      <c r="O70" s="51" t="s">
        <v>25</v>
      </c>
      <c r="P70" s="18" t="s">
        <v>26</v>
      </c>
      <c r="Q70" s="42" t="s">
        <v>27</v>
      </c>
      <c r="R70" s="42" t="s">
        <v>28</v>
      </c>
      <c r="S70" s="42" t="s">
        <v>29</v>
      </c>
      <c r="T70" s="42" t="s">
        <v>30</v>
      </c>
      <c r="U70" s="42" t="s">
        <v>31</v>
      </c>
      <c r="V70" s="42" t="s">
        <v>32</v>
      </c>
      <c r="W70" s="42" t="s">
        <v>33</v>
      </c>
      <c r="X70" s="42" t="s">
        <v>34</v>
      </c>
      <c r="Y70" s="42" t="s">
        <v>35</v>
      </c>
      <c r="Z70" s="42" t="s">
        <v>36</v>
      </c>
      <c r="AA70" s="42" t="s">
        <v>37</v>
      </c>
      <c r="AB70" s="42" t="s">
        <v>38</v>
      </c>
      <c r="AC70" s="43" t="s">
        <v>39</v>
      </c>
      <c r="AD70" s="49"/>
      <c r="AE70" s="23" t="s">
        <v>40</v>
      </c>
      <c r="AF70" s="85" t="s">
        <v>17</v>
      </c>
      <c r="AG70" s="85" t="s">
        <v>41</v>
      </c>
      <c r="AH70" s="85" t="s">
        <v>42</v>
      </c>
      <c r="AI70" s="85" t="s">
        <v>43</v>
      </c>
      <c r="AJ70" s="85" t="s">
        <v>44</v>
      </c>
      <c r="AK70" s="85" t="s">
        <v>45</v>
      </c>
      <c r="AL70" s="85" t="s">
        <v>32</v>
      </c>
      <c r="AM70" s="85" t="s">
        <v>33</v>
      </c>
      <c r="AN70" s="86" t="s">
        <v>34</v>
      </c>
    </row>
    <row r="71" spans="1:40" x14ac:dyDescent="0.25">
      <c r="A71" s="49"/>
      <c r="B71" s="104" t="s">
        <v>71</v>
      </c>
      <c r="C71" s="99">
        <v>46196</v>
      </c>
      <c r="D71" s="41" t="s">
        <v>46</v>
      </c>
      <c r="E71" s="87" t="str">
        <f>P71</f>
        <v>Inglaterra</v>
      </c>
      <c r="F71" s="127"/>
      <c r="G71" s="88" t="s">
        <v>22</v>
      </c>
      <c r="H71" s="127"/>
      <c r="I71" s="117" t="str">
        <f>P73</f>
        <v>Gana</v>
      </c>
      <c r="J71" s="42" t="str">
        <f t="shared" si="257"/>
        <v>empate</v>
      </c>
      <c r="K71" s="42" t="str">
        <f t="shared" si="258"/>
        <v/>
      </c>
      <c r="L71" s="42" t="str">
        <f t="shared" si="259"/>
        <v/>
      </c>
      <c r="M71" s="43" t="str">
        <f t="shared" si="260"/>
        <v>empate</v>
      </c>
      <c r="N71" s="49"/>
      <c r="O71" s="51">
        <f>RANK(Q71,$Q$71:$Q$74)+SUM(Y71:AB71)</f>
        <v>1</v>
      </c>
      <c r="P71" s="53" t="str">
        <f>Sorteios!I30</f>
        <v>Inglaterra</v>
      </c>
      <c r="Q71" s="42">
        <f>(S71*3)+(T71*1)</f>
        <v>0</v>
      </c>
      <c r="R71" s="42">
        <f>SUM(S71:U71)</f>
        <v>0</v>
      </c>
      <c r="S71" s="42">
        <f>COUNTIF(J:J,P71)</f>
        <v>0</v>
      </c>
      <c r="T71" s="42">
        <f>COUNTIF(K:K,P71)+COUNTIF(L:L,P71)</f>
        <v>0</v>
      </c>
      <c r="U71" s="42">
        <f>COUNTIF(M:M,P71)</f>
        <v>0</v>
      </c>
      <c r="V71" s="42">
        <f>SUMIF(E:E,P71,F:F)+SUMIF(I:I,P71,H:H)</f>
        <v>0</v>
      </c>
      <c r="W71" s="42">
        <f>SUMIF(E:E,P71,H:H)+SUMIF(I:I,P71,F:F)</f>
        <v>0</v>
      </c>
      <c r="X71" s="42">
        <f>V71-W71</f>
        <v>0</v>
      </c>
      <c r="Y71" s="42">
        <f>SUMPRODUCT(($Q$71:$Q$74=Q71)*($X$71:$X$74&gt;X71))</f>
        <v>0</v>
      </c>
      <c r="Z71" s="42">
        <f>SUMPRODUCT(($Q$71:$Q$74=Q71)*($X$71:$X$74=X71)*($V$71:$V$74&gt;V71))</f>
        <v>0</v>
      </c>
      <c r="AA71" s="42">
        <f>SUMPRODUCT(($Q$71:$Q$74=Q71)*($X$71:$X$74=X71)*($V$71:$V$74=V71)*($W$71:$W$74&gt;W71))</f>
        <v>0</v>
      </c>
      <c r="AB71" s="42">
        <f>SUMPRODUCT(($Q$71:$Q$74=Q71)*($X$71:$X$74=X71)*($V$71:$V$74=V71)*($W$71:$W$74=W71)*($AC$71:$AC$74&lt;AC71))</f>
        <v>0</v>
      </c>
      <c r="AC71" s="43">
        <v>1</v>
      </c>
      <c r="AD71" s="49"/>
      <c r="AE71" s="23">
        <v>1</v>
      </c>
      <c r="AF71" s="87" t="str">
        <f>VLOOKUP($AE71,$O$71:$X$74,2,FALSE)</f>
        <v>Inglaterra</v>
      </c>
      <c r="AG71" s="88">
        <f>VLOOKUP($AE71,$O$71:$X$74,3,FALSE)</f>
        <v>0</v>
      </c>
      <c r="AH71" s="88">
        <f>VLOOKUP($AE71,$O$71:$X$74,4,FALSE)</f>
        <v>0</v>
      </c>
      <c r="AI71" s="88">
        <f>VLOOKUP($AE71,$O$71:$X$74,5,FALSE)</f>
        <v>0</v>
      </c>
      <c r="AJ71" s="88">
        <f>VLOOKUP($AE71,$O$71:$X$74,6,FALSE)</f>
        <v>0</v>
      </c>
      <c r="AK71" s="88">
        <f>VLOOKUP($AE71,$O$71:$X$74,7,FALSE)</f>
        <v>0</v>
      </c>
      <c r="AL71" s="88">
        <f>VLOOKUP($AE71,$O$71:$X$74,8,FALSE)</f>
        <v>0</v>
      </c>
      <c r="AM71" s="88">
        <f>VLOOKUP($AE71,$O$71:$X$74,9,FALSE)</f>
        <v>0</v>
      </c>
      <c r="AN71" s="89">
        <f>VLOOKUP($AE71,$O$71:$X$74,10,FALSE)</f>
        <v>0</v>
      </c>
    </row>
    <row r="72" spans="1:40" x14ac:dyDescent="0.25">
      <c r="A72" s="49"/>
      <c r="B72" s="104" t="s">
        <v>71</v>
      </c>
      <c r="C72" s="99">
        <v>46196</v>
      </c>
      <c r="D72" s="41" t="s">
        <v>21</v>
      </c>
      <c r="E72" s="87" t="str">
        <f>P74</f>
        <v>Panamá</v>
      </c>
      <c r="F72" s="127"/>
      <c r="G72" s="88" t="s">
        <v>22</v>
      </c>
      <c r="H72" s="127"/>
      <c r="I72" s="117" t="str">
        <f>P72</f>
        <v>Croácia</v>
      </c>
      <c r="J72" s="42" t="str">
        <f t="shared" si="257"/>
        <v>empate</v>
      </c>
      <c r="K72" s="42" t="str">
        <f t="shared" si="258"/>
        <v/>
      </c>
      <c r="L72" s="42" t="str">
        <f t="shared" si="259"/>
        <v/>
      </c>
      <c r="M72" s="43" t="str">
        <f t="shared" si="260"/>
        <v>empate</v>
      </c>
      <c r="N72" s="49"/>
      <c r="O72" s="51">
        <f t="shared" ref="O72:O74" si="261">RANK(Q72,$Q$71:$Q$74)+SUM(Y72:AB72)</f>
        <v>2</v>
      </c>
      <c r="P72" s="53" t="str">
        <f>Sorteios!I31</f>
        <v>Croácia</v>
      </c>
      <c r="Q72" s="42">
        <f t="shared" ref="Q72:Q74" si="262">(S72*3)+(T72*1)</f>
        <v>0</v>
      </c>
      <c r="R72" s="42">
        <f t="shared" ref="R72:R74" si="263">SUM(S72:U72)</f>
        <v>0</v>
      </c>
      <c r="S72" s="42">
        <f t="shared" ref="S72:S74" si="264">COUNTIF(J:J,P72)</f>
        <v>0</v>
      </c>
      <c r="T72" s="42">
        <f t="shared" ref="T72:T74" si="265">COUNTIF(K:K,P72)+COUNTIF(L:L,P72)</f>
        <v>0</v>
      </c>
      <c r="U72" s="42">
        <f t="shared" ref="U72:U74" si="266">COUNTIF(M:M,P72)</f>
        <v>0</v>
      </c>
      <c r="V72" s="42">
        <f>SUMIF(E:E,P72,F:F)+SUMIF(I:I,P72,H:H)</f>
        <v>0</v>
      </c>
      <c r="W72" s="42">
        <f>SUMIF(E:E,P72,H:H)+SUMIF(I:I,P72,F:F)</f>
        <v>0</v>
      </c>
      <c r="X72" s="42">
        <f t="shared" ref="X72:X74" si="267">V72-W72</f>
        <v>0</v>
      </c>
      <c r="Y72" s="42">
        <f t="shared" ref="Y72:Y74" si="268">SUMPRODUCT(($Q$71:$Q$74=Q72)*($X$71:$X$74&gt;X72))</f>
        <v>0</v>
      </c>
      <c r="Z72" s="42">
        <f t="shared" ref="Z72:Z74" si="269">SUMPRODUCT(($Q$71:$Q$74=Q72)*($X$71:$X$74=X72)*($V$71:$V$74&gt;V72))</f>
        <v>0</v>
      </c>
      <c r="AA72" s="42">
        <f t="shared" ref="AA72:AA74" si="270">SUMPRODUCT(($Q$71:$Q$74=Q72)*($X$71:$X$74=X72)*($V$71:$V$74=V72)*($W$71:$W$74&gt;W72))</f>
        <v>0</v>
      </c>
      <c r="AB72" s="42">
        <f t="shared" ref="AB72:AB74" si="271">SUMPRODUCT(($Q$71:$Q$74=Q72)*($X$71:$X$74=X72)*($V$71:$V$74=V72)*($W$71:$W$74=W72)*($AC$71:$AC$74&lt;AC72))</f>
        <v>1</v>
      </c>
      <c r="AC72" s="43">
        <v>2</v>
      </c>
      <c r="AD72" s="49"/>
      <c r="AE72" s="23">
        <v>2</v>
      </c>
      <c r="AF72" s="87" t="str">
        <f t="shared" ref="AF72:AF74" si="272">VLOOKUP($AE72,$O$71:$X$74,2,FALSE)</f>
        <v>Croácia</v>
      </c>
      <c r="AG72" s="88">
        <f t="shared" ref="AG72:AG74" si="273">VLOOKUP($AE72,$O$71:$X$74,3,FALSE)</f>
        <v>0</v>
      </c>
      <c r="AH72" s="88">
        <f t="shared" ref="AH72:AH74" si="274">VLOOKUP($AE72,$O$71:$X$74,4,FALSE)</f>
        <v>0</v>
      </c>
      <c r="AI72" s="88">
        <f t="shared" ref="AI72:AI74" si="275">VLOOKUP($AE72,$O$71:$X$74,5,FALSE)</f>
        <v>0</v>
      </c>
      <c r="AJ72" s="88">
        <f t="shared" ref="AJ72:AJ74" si="276">VLOOKUP($AE72,$O$71:$X$74,6,FALSE)</f>
        <v>0</v>
      </c>
      <c r="AK72" s="88">
        <f t="shared" ref="AK72:AK74" si="277">VLOOKUP($AE72,$O$71:$X$74,7,FALSE)</f>
        <v>0</v>
      </c>
      <c r="AL72" s="88">
        <f t="shared" ref="AL72:AL74" si="278">VLOOKUP($AE72,$O$71:$X$74,8,FALSE)</f>
        <v>0</v>
      </c>
      <c r="AM72" s="88">
        <f t="shared" ref="AM72:AM74" si="279">VLOOKUP($AE72,$O$71:$X$74,9,FALSE)</f>
        <v>0</v>
      </c>
      <c r="AN72" s="89">
        <f t="shared" ref="AN72:AN74" si="280">VLOOKUP($AE72,$O$71:$X$74,10,FALSE)</f>
        <v>0</v>
      </c>
    </row>
    <row r="73" spans="1:40" x14ac:dyDescent="0.25">
      <c r="A73" s="49"/>
      <c r="B73" s="104" t="s">
        <v>71</v>
      </c>
      <c r="C73" s="99">
        <v>46200</v>
      </c>
      <c r="D73" s="41" t="s">
        <v>47</v>
      </c>
      <c r="E73" s="87" t="str">
        <f>P74</f>
        <v>Panamá</v>
      </c>
      <c r="F73" s="127"/>
      <c r="G73" s="88" t="s">
        <v>22</v>
      </c>
      <c r="H73" s="127"/>
      <c r="I73" s="117" t="str">
        <f>P71</f>
        <v>Inglaterra</v>
      </c>
      <c r="J73" s="42" t="str">
        <f t="shared" si="257"/>
        <v>empate</v>
      </c>
      <c r="K73" s="42" t="str">
        <f t="shared" si="258"/>
        <v/>
      </c>
      <c r="L73" s="42" t="str">
        <f t="shared" si="259"/>
        <v/>
      </c>
      <c r="M73" s="43" t="str">
        <f t="shared" si="260"/>
        <v>empate</v>
      </c>
      <c r="N73" s="49"/>
      <c r="O73" s="51">
        <f t="shared" si="261"/>
        <v>3</v>
      </c>
      <c r="P73" s="53" t="str">
        <f>Sorteios!I32</f>
        <v>Gana</v>
      </c>
      <c r="Q73" s="42">
        <f t="shared" si="262"/>
        <v>0</v>
      </c>
      <c r="R73" s="42">
        <f t="shared" si="263"/>
        <v>0</v>
      </c>
      <c r="S73" s="42">
        <f t="shared" si="264"/>
        <v>0</v>
      </c>
      <c r="T73" s="42">
        <f t="shared" si="265"/>
        <v>0</v>
      </c>
      <c r="U73" s="42">
        <f t="shared" si="266"/>
        <v>0</v>
      </c>
      <c r="V73" s="42">
        <f>SUMIF(E:E,P73,F:F)+SUMIF(I:I,P73,H:H)</f>
        <v>0</v>
      </c>
      <c r="W73" s="42">
        <f>SUMIF(E:E,P73,H:H)+SUMIF(I:I,P73,F:F)</f>
        <v>0</v>
      </c>
      <c r="X73" s="42">
        <f t="shared" si="267"/>
        <v>0</v>
      </c>
      <c r="Y73" s="42">
        <f t="shared" si="268"/>
        <v>0</v>
      </c>
      <c r="Z73" s="42">
        <f t="shared" si="269"/>
        <v>0</v>
      </c>
      <c r="AA73" s="42">
        <f t="shared" si="270"/>
        <v>0</v>
      </c>
      <c r="AB73" s="42">
        <f t="shared" si="271"/>
        <v>2</v>
      </c>
      <c r="AC73" s="43">
        <v>3</v>
      </c>
      <c r="AD73" s="49"/>
      <c r="AE73" s="23">
        <v>3</v>
      </c>
      <c r="AF73" s="87" t="str">
        <f t="shared" si="272"/>
        <v>Gana</v>
      </c>
      <c r="AG73" s="88">
        <f t="shared" si="273"/>
        <v>0</v>
      </c>
      <c r="AH73" s="88">
        <f t="shared" si="274"/>
        <v>0</v>
      </c>
      <c r="AI73" s="88">
        <f t="shared" si="275"/>
        <v>0</v>
      </c>
      <c r="AJ73" s="88">
        <f t="shared" si="276"/>
        <v>0</v>
      </c>
      <c r="AK73" s="88">
        <f t="shared" si="277"/>
        <v>0</v>
      </c>
      <c r="AL73" s="88">
        <f t="shared" si="278"/>
        <v>0</v>
      </c>
      <c r="AM73" s="88">
        <f t="shared" si="279"/>
        <v>0</v>
      </c>
      <c r="AN73" s="89">
        <f t="shared" si="280"/>
        <v>0</v>
      </c>
    </row>
    <row r="74" spans="1:40" ht="15.75" thickBot="1" x14ac:dyDescent="0.3">
      <c r="A74" s="49"/>
      <c r="B74" s="105" t="s">
        <v>71</v>
      </c>
      <c r="C74" s="100">
        <v>46200</v>
      </c>
      <c r="D74" s="56" t="s">
        <v>47</v>
      </c>
      <c r="E74" s="90" t="str">
        <f>P72</f>
        <v>Croácia</v>
      </c>
      <c r="F74" s="128"/>
      <c r="G74" s="91" t="s">
        <v>22</v>
      </c>
      <c r="H74" s="128"/>
      <c r="I74" s="118" t="str">
        <f>P73</f>
        <v>Gana</v>
      </c>
      <c r="J74" s="57" t="str">
        <f t="shared" si="257"/>
        <v>empate</v>
      </c>
      <c r="K74" s="57" t="str">
        <f t="shared" si="258"/>
        <v/>
      </c>
      <c r="L74" s="57" t="str">
        <f t="shared" si="259"/>
        <v/>
      </c>
      <c r="M74" s="58" t="str">
        <f t="shared" si="260"/>
        <v>empate</v>
      </c>
      <c r="N74" s="61"/>
      <c r="O74" s="60">
        <f t="shared" si="261"/>
        <v>4</v>
      </c>
      <c r="P74" s="53" t="str">
        <f>Sorteios!I33</f>
        <v>Panamá</v>
      </c>
      <c r="Q74" s="57">
        <f t="shared" si="262"/>
        <v>0</v>
      </c>
      <c r="R74" s="57">
        <f t="shared" si="263"/>
        <v>0</v>
      </c>
      <c r="S74" s="42">
        <f t="shared" si="264"/>
        <v>0</v>
      </c>
      <c r="T74" s="42">
        <f t="shared" si="265"/>
        <v>0</v>
      </c>
      <c r="U74" s="42">
        <f t="shared" si="266"/>
        <v>0</v>
      </c>
      <c r="V74" s="57">
        <f>SUMIF(E:E,P74,F:F)+SUMIF(I:I,P74,H:H)</f>
        <v>0</v>
      </c>
      <c r="W74" s="57">
        <f>SUMIF(E:E,P74,H:H)+SUMIF(I:I,P74,F:F)</f>
        <v>0</v>
      </c>
      <c r="X74" s="57">
        <f t="shared" si="267"/>
        <v>0</v>
      </c>
      <c r="Y74" s="57">
        <f t="shared" si="268"/>
        <v>0</v>
      </c>
      <c r="Z74" s="57">
        <f t="shared" si="269"/>
        <v>0</v>
      </c>
      <c r="AA74" s="57">
        <f t="shared" si="270"/>
        <v>0</v>
      </c>
      <c r="AB74" s="57">
        <f t="shared" si="271"/>
        <v>3</v>
      </c>
      <c r="AC74" s="58">
        <v>4</v>
      </c>
      <c r="AD74" s="61"/>
      <c r="AE74" s="24">
        <v>4</v>
      </c>
      <c r="AF74" s="90" t="str">
        <f t="shared" si="272"/>
        <v>Panamá</v>
      </c>
      <c r="AG74" s="91">
        <f t="shared" si="273"/>
        <v>0</v>
      </c>
      <c r="AH74" s="91">
        <f t="shared" si="274"/>
        <v>0</v>
      </c>
      <c r="AI74" s="91">
        <f t="shared" si="275"/>
        <v>0</v>
      </c>
      <c r="AJ74" s="91">
        <f t="shared" si="276"/>
        <v>0</v>
      </c>
      <c r="AK74" s="91">
        <f t="shared" si="277"/>
        <v>0</v>
      </c>
      <c r="AL74" s="91">
        <f t="shared" si="278"/>
        <v>0</v>
      </c>
      <c r="AM74" s="91">
        <f t="shared" si="279"/>
        <v>0</v>
      </c>
      <c r="AN74" s="92">
        <f t="shared" si="280"/>
        <v>0</v>
      </c>
    </row>
  </sheetData>
  <sheetProtection algorithmName="SHA-512" hashValue="/+GhNB23lkgfPvHPh7XunzaFlEsfwXFubU1BM6RGHrevNYAowIEEmzwBorJcJFyUPUK4b01W21Cjz+GRlXGz5A==" saltValue="FpxiyppjsAhu9M+msk21Kg==" spinCount="100000" sheet="1" objects="1" scenarios="1" selectLockedCells="1"/>
  <mergeCells count="1">
    <mergeCell ref="F2:H2"/>
  </mergeCells>
  <conditionalFormatting sqref="A1:A50 P2 B2:O50">
    <cfRule type="cellIs" dxfId="47" priority="215" operator="equal">
      <formula>"Brasil"</formula>
    </cfRule>
  </conditionalFormatting>
  <conditionalFormatting sqref="A51:O74">
    <cfRule type="cellIs" dxfId="46" priority="136" operator="equal">
      <formula>"Brasil"</formula>
    </cfRule>
  </conditionalFormatting>
  <conditionalFormatting sqref="C3:E8">
    <cfRule type="cellIs" dxfId="45" priority="202" operator="equal">
      <formula>"Brasil"</formula>
    </cfRule>
  </conditionalFormatting>
  <conditionalFormatting sqref="C15:E20">
    <cfRule type="cellIs" dxfId="44" priority="193" operator="equal">
      <formula>"Brasil"</formula>
    </cfRule>
  </conditionalFormatting>
  <conditionalFormatting sqref="C27:E32">
    <cfRule type="cellIs" dxfId="43" priority="191" operator="equal">
      <formula>"Brasil"</formula>
    </cfRule>
  </conditionalFormatting>
  <conditionalFormatting sqref="C39:E44">
    <cfRule type="cellIs" dxfId="42" priority="189" operator="equal">
      <formula>"Brasil"</formula>
    </cfRule>
  </conditionalFormatting>
  <conditionalFormatting sqref="C51:E56">
    <cfRule type="cellIs" dxfId="41" priority="130" operator="equal">
      <formula>"Brasil"</formula>
    </cfRule>
  </conditionalFormatting>
  <conditionalFormatting sqref="C63:E68">
    <cfRule type="cellIs" dxfId="40" priority="128" operator="equal">
      <formula>"Brasil"</formula>
    </cfRule>
  </conditionalFormatting>
  <conditionalFormatting sqref="I3:I8">
    <cfRule type="cellIs" dxfId="39" priority="198" operator="equal">
      <formula>"Brasil"</formula>
    </cfRule>
  </conditionalFormatting>
  <conditionalFormatting sqref="I15:I20">
    <cfRule type="cellIs" dxfId="38" priority="188" operator="equal">
      <formula>"Brasil"</formula>
    </cfRule>
  </conditionalFormatting>
  <conditionalFormatting sqref="I27:I32">
    <cfRule type="cellIs" dxfId="37" priority="187" operator="equal">
      <formula>"Brasil"</formula>
    </cfRule>
  </conditionalFormatting>
  <conditionalFormatting sqref="I39:I44">
    <cfRule type="cellIs" dxfId="36" priority="186" operator="equal">
      <formula>"Brasil"</formula>
    </cfRule>
  </conditionalFormatting>
  <conditionalFormatting sqref="I51:I56">
    <cfRule type="cellIs" dxfId="35" priority="127" operator="equal">
      <formula>"Brasil"</formula>
    </cfRule>
  </conditionalFormatting>
  <conditionalFormatting sqref="I63:I68">
    <cfRule type="cellIs" dxfId="34" priority="126" operator="equal">
      <formula>"Brasil"</formula>
    </cfRule>
  </conditionalFormatting>
  <conditionalFormatting sqref="P3:AN74">
    <cfRule type="cellIs" dxfId="33" priority="3" operator="equal">
      <formula>"Brasil"</formula>
    </cfRule>
  </conditionalFormatting>
  <conditionalFormatting sqref="AF5:AF6">
    <cfRule type="expression" dxfId="32" priority="209">
      <formula>AH5=3</formula>
    </cfRule>
  </conditionalFormatting>
  <conditionalFormatting sqref="AF11:AF12 AF17:AF18 AF23:AF24 AF29:AF30 AF35:AF36 AF41:AF42 AF47:AF48 AF53:AF56 AF59:AF60 AF65:AF68 AF71:AF72">
    <cfRule type="expression" dxfId="31" priority="1">
      <formula>AH11=3</formula>
    </cfRule>
  </conditionalFormatting>
  <conditionalFormatting sqref="AP4:BG16">
    <cfRule type="cellIs" dxfId="30" priority="83" operator="equal">
      <formula>"Brasil"</formula>
    </cfRule>
  </conditionalFormatting>
  <conditionalFormatting sqref="BI3:BR16">
    <cfRule type="cellIs" dxfId="29" priority="2" operator="equal">
      <formula>"Brasil"</formula>
    </cfRule>
  </conditionalFormatting>
  <conditionalFormatting sqref="BJ5:BJ16">
    <cfRule type="expression" dxfId="28" priority="77">
      <formula>BL5=3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3:H74 F3:F74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58" t="s">
        <v>99</v>
      </c>
      <c r="C2" s="160" t="s">
        <v>100</v>
      </c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2"/>
      <c r="O2" s="158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59"/>
      <c r="C3" s="163" t="s">
        <v>101</v>
      </c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5"/>
      <c r="O3" s="159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workbookViewId="0">
      <selection activeCell="G5" sqref="G5"/>
    </sheetView>
  </sheetViews>
  <sheetFormatPr defaultRowHeight="15" x14ac:dyDescent="0.25"/>
  <cols>
    <col min="1" max="1" width="9.140625" style="49" customWidth="1"/>
    <col min="2" max="2" width="4.28515625" style="39" customWidth="1"/>
    <col min="3" max="3" width="8.7109375" style="39" customWidth="1"/>
    <col min="4" max="4" width="7.7109375" style="39" hidden="1" customWidth="1"/>
    <col min="5" max="5" width="20.7109375" style="142" customWidth="1"/>
    <col min="6" max="6" width="2.7109375" style="39" customWidth="1"/>
    <col min="7" max="7" width="3.7109375" style="39" customWidth="1"/>
    <col min="8" max="8" width="1.7109375" style="39" customWidth="1"/>
    <col min="9" max="9" width="3.7109375" style="39" customWidth="1"/>
    <col min="10" max="10" width="2.7109375" style="39" customWidth="1"/>
    <col min="11" max="11" width="20.7109375" style="143" customWidth="1"/>
    <col min="12" max="12" width="3.140625" style="140" hidden="1" customWidth="1"/>
    <col min="13" max="13" width="14.140625" style="137" hidden="1" customWidth="1"/>
    <col min="14" max="14" width="0" style="137" hidden="1" customWidth="1"/>
    <col min="15" max="15" width="9.140625" style="137" customWidth="1"/>
    <col min="16" max="16" width="20.28515625" style="137" hidden="1" customWidth="1"/>
    <col min="17" max="17" width="3.42578125" style="137" hidden="1" customWidth="1"/>
    <col min="18" max="18" width="3.28515625" style="17" hidden="1" customWidth="1"/>
    <col min="19" max="19" width="9" style="17" hidden="1" customWidth="1"/>
    <col min="20" max="20" width="3.28515625" style="17" hidden="1" customWidth="1"/>
    <col min="21" max="21" width="3" style="17" hidden="1" customWidth="1"/>
    <col min="22" max="23" width="0" style="17" hidden="1" customWidth="1"/>
    <col min="24" max="24" width="4.28515625" style="17" customWidth="1"/>
    <col min="25" max="25" width="8.7109375" style="17" customWidth="1"/>
    <col min="26" max="26" width="7.7109375" style="17" hidden="1" customWidth="1"/>
    <col min="27" max="27" width="20.7109375" style="17" customWidth="1"/>
    <col min="28" max="28" width="2.7109375" style="17" customWidth="1"/>
    <col min="29" max="29" width="3.7109375" style="17" customWidth="1"/>
    <col min="30" max="30" width="1.7109375" style="17" customWidth="1"/>
    <col min="31" max="31" width="3.7109375" style="17" customWidth="1"/>
    <col min="32" max="32" width="2.7109375" style="17" customWidth="1"/>
    <col min="33" max="33" width="20.7109375" style="17" customWidth="1"/>
    <col min="34" max="34" width="0" style="17" hidden="1" customWidth="1"/>
    <col min="35" max="35" width="13.28515625" style="17" hidden="1" customWidth="1"/>
    <col min="36" max="16384" width="9.140625" style="17"/>
  </cols>
  <sheetData>
    <row r="1" spans="1:39" ht="22.5" x14ac:dyDescent="0.3">
      <c r="A1" s="132"/>
      <c r="B1" s="29" t="s">
        <v>84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</row>
    <row r="3" spans="1:39" x14ac:dyDescent="0.25">
      <c r="A3" s="134"/>
      <c r="B3" s="166" t="s">
        <v>85</v>
      </c>
      <c r="C3" s="167"/>
      <c r="D3" s="167"/>
      <c r="E3" s="167"/>
      <c r="F3" s="167"/>
      <c r="G3" s="167"/>
      <c r="H3" s="167"/>
      <c r="I3" s="167"/>
      <c r="J3" s="167"/>
      <c r="K3" s="168"/>
      <c r="L3" s="135"/>
      <c r="M3" s="136"/>
      <c r="N3" s="136"/>
      <c r="O3" s="136"/>
      <c r="P3" s="136"/>
      <c r="Q3" s="136"/>
      <c r="W3" s="134"/>
      <c r="X3" s="166" t="s">
        <v>73</v>
      </c>
      <c r="Y3" s="167"/>
      <c r="Z3" s="167"/>
      <c r="AA3" s="167"/>
      <c r="AB3" s="167"/>
      <c r="AC3" s="167"/>
      <c r="AD3" s="167"/>
      <c r="AE3" s="167"/>
      <c r="AF3" s="167"/>
      <c r="AG3" s="168"/>
      <c r="AH3" s="135"/>
      <c r="AI3" s="136"/>
      <c r="AJ3" s="136"/>
      <c r="AK3" s="137"/>
      <c r="AL3" s="137"/>
      <c r="AM3" s="137"/>
    </row>
    <row r="4" spans="1:39" x14ac:dyDescent="0.25">
      <c r="A4" s="138"/>
      <c r="B4" s="149"/>
      <c r="C4" s="150" t="s">
        <v>15</v>
      </c>
      <c r="D4" s="151" t="s">
        <v>16</v>
      </c>
      <c r="E4" s="169" t="s">
        <v>17</v>
      </c>
      <c r="F4" s="169"/>
      <c r="G4" s="169" t="s">
        <v>18</v>
      </c>
      <c r="H4" s="169"/>
      <c r="I4" s="169"/>
      <c r="J4" s="169" t="s">
        <v>17</v>
      </c>
      <c r="K4" s="169"/>
      <c r="L4" s="139"/>
      <c r="M4" s="139"/>
      <c r="N4" s="139"/>
      <c r="O4" s="139"/>
      <c r="P4" s="139"/>
      <c r="Q4" s="139"/>
      <c r="W4" s="49"/>
      <c r="X4" s="149"/>
      <c r="Y4" s="150" t="s">
        <v>15</v>
      </c>
      <c r="Z4" s="151" t="s">
        <v>16</v>
      </c>
      <c r="AA4" s="169" t="s">
        <v>17</v>
      </c>
      <c r="AB4" s="169"/>
      <c r="AC4" s="169" t="s">
        <v>18</v>
      </c>
      <c r="AD4" s="169"/>
      <c r="AE4" s="169"/>
      <c r="AF4" s="169" t="s">
        <v>17</v>
      </c>
      <c r="AG4" s="169"/>
      <c r="AH4" s="140"/>
      <c r="AI4" s="137"/>
      <c r="AJ4" s="137"/>
      <c r="AK4" s="137"/>
      <c r="AL4" s="137"/>
      <c r="AM4" s="137"/>
    </row>
    <row r="5" spans="1:39" x14ac:dyDescent="0.25">
      <c r="B5" s="156">
        <v>73</v>
      </c>
      <c r="C5" s="152">
        <v>46201</v>
      </c>
      <c r="D5" s="40" t="s">
        <v>46</v>
      </c>
      <c r="E5" s="110" t="str">
        <f>IF('Fase de Grupos'!AH6=3,'Fase de Grupos'!AF6,"2º do Grupo A")</f>
        <v>2º do Grupo A</v>
      </c>
      <c r="F5" s="153"/>
      <c r="G5" s="127"/>
      <c r="H5" s="88" t="s">
        <v>22</v>
      </c>
      <c r="I5" s="127"/>
      <c r="J5" s="154"/>
      <c r="K5" s="155" t="str">
        <f>IF('Fase de Grupos'!AH12=3,'Fase de Grupos'!AF12,"2º do Grupo B")</f>
        <v>2º do Grupo B</v>
      </c>
      <c r="L5" s="140" t="str">
        <f>IF(OR(G5="",I5=""),"",IF(G5=I5,"emp",""))</f>
        <v/>
      </c>
      <c r="M5" s="137" t="str">
        <f>IF(OR(G5="",I5=""),"Vencedor 73",IF(G5&lt;&gt;I5,IF(G5&gt;I5,E5,K5),IF(SUM(F5:G5)=SUM(I5:J5),"Vencedor 73",IF(SUM(F5:G5)&gt;SUM(I5:J5),E5,K5))))</f>
        <v>Vencedor 73</v>
      </c>
      <c r="N5" s="137">
        <v>73</v>
      </c>
      <c r="W5" s="49"/>
      <c r="X5" s="156" t="s">
        <v>123</v>
      </c>
      <c r="Y5" s="152">
        <v>46212</v>
      </c>
      <c r="Z5" s="40" t="s">
        <v>47</v>
      </c>
      <c r="AA5" s="110" t="str">
        <f>M25</f>
        <v>Vencedor 89</v>
      </c>
      <c r="AB5" s="153"/>
      <c r="AC5" s="127"/>
      <c r="AD5" s="88" t="s">
        <v>22</v>
      </c>
      <c r="AE5" s="127"/>
      <c r="AF5" s="154"/>
      <c r="AG5" s="155" t="str">
        <f>M26</f>
        <v>Vencedor 90</v>
      </c>
      <c r="AH5" s="140" t="str">
        <f>IF(OR(AC5="",AE5=""),"",IF(AC5=AE5,"emp",""))</f>
        <v/>
      </c>
      <c r="AI5" s="137" t="str">
        <f>IF(OR(AC5="",AE5=""),"Vencedor Q1",IF(AC5&lt;&gt;AE5,IF(AC5&gt;AE5,AA5,AG5),IF(SUM(AB5:AC5)=SUM(AE5:AF5),"Vencedor Q1",IF(SUM(AB5:AC5)&gt;SUM(AE5:AF5),AA5,AG5))))</f>
        <v>Vencedor Q1</v>
      </c>
      <c r="AJ5" s="137"/>
      <c r="AK5" s="137"/>
      <c r="AL5" s="137"/>
      <c r="AM5" s="137"/>
    </row>
    <row r="6" spans="1:39" x14ac:dyDescent="0.25">
      <c r="B6" s="156">
        <v>77</v>
      </c>
      <c r="C6" s="152">
        <v>46202</v>
      </c>
      <c r="D6" s="40" t="s">
        <v>47</v>
      </c>
      <c r="E6" s="110" t="str">
        <f>IF('Fase de Grupos'!AH29=3,'Fase de Grupos'!AF29,"1º do Grupo E")</f>
        <v>1º do Grupo E</v>
      </c>
      <c r="F6" s="153"/>
      <c r="G6" s="127"/>
      <c r="H6" s="88" t="s">
        <v>22</v>
      </c>
      <c r="I6" s="127"/>
      <c r="J6" s="154"/>
      <c r="K6" s="155" t="str">
        <f>IF('Fase de Grupos'!$BL$17=36,R11,"3º A, B, C, D ou F")</f>
        <v>3º A, B, C, D ou F</v>
      </c>
      <c r="L6" s="140" t="str">
        <f t="shared" ref="L6:L12" si="0">IF(OR(G6="",I6=""),"",IF(G6=I6,"emp",""))</f>
        <v/>
      </c>
      <c r="M6" s="137" t="str">
        <f>IF(OR(G6="",I6=""),"Vencedor 74",IF(G6&lt;&gt;I6,IF(G6&gt;I6,E6,K6),IF(SUM(F6:G6)=SUM(I6:J6),"Vencedor 74",IF(SUM(F6:G6)&gt;SUM(I6:J6),E6,K6))))</f>
        <v>Vencedor 74</v>
      </c>
      <c r="N6" s="137">
        <v>74</v>
      </c>
      <c r="P6" s="137" t="str">
        <f>'Fase de Grupos'!AR38</f>
        <v>3H3G3B3C3A3F3D3E</v>
      </c>
      <c r="W6" s="49"/>
      <c r="X6" s="156" t="s">
        <v>124</v>
      </c>
      <c r="Y6" s="152">
        <v>46213</v>
      </c>
      <c r="Z6" s="40" t="s">
        <v>46</v>
      </c>
      <c r="AA6" s="110" t="str">
        <f>M29</f>
        <v>Vencedor 93</v>
      </c>
      <c r="AB6" s="153"/>
      <c r="AC6" s="127"/>
      <c r="AD6" s="88" t="s">
        <v>22</v>
      </c>
      <c r="AE6" s="127"/>
      <c r="AF6" s="154"/>
      <c r="AG6" s="155" t="str">
        <f>M30</f>
        <v>Vencedor 94</v>
      </c>
      <c r="AH6" s="140" t="str">
        <f t="shared" ref="AH6:AH8" si="1">IF(OR(AC6="",AE6=""),"",IF(AC6=AE6,"emp",""))</f>
        <v/>
      </c>
      <c r="AI6" s="137" t="str">
        <f>IF(OR(AC6="",AE6=""),"Vencedor Q2",IF(AC6&lt;&gt;AE6,IF(AC6&gt;AE6,AA6,AG6),IF(SUM(AB6:AC6)=SUM(AE6:AF6),"Vencedor Q2",IF(SUM(AB6:AC6)&gt;SUM(AE6:AF6),AA6,AG6))))</f>
        <v>Vencedor Q2</v>
      </c>
      <c r="AJ6" s="137"/>
      <c r="AK6" s="137"/>
      <c r="AL6" s="137"/>
      <c r="AM6" s="137"/>
    </row>
    <row r="7" spans="1:39" x14ac:dyDescent="0.25">
      <c r="B7" s="156">
        <v>75</v>
      </c>
      <c r="C7" s="152">
        <v>46202</v>
      </c>
      <c r="D7" s="40" t="s">
        <v>47</v>
      </c>
      <c r="E7" s="110" t="str">
        <f>IF('Fase de Grupos'!AH35=3,'Fase de Grupos'!AF35,"1º do Grupo F")</f>
        <v>1º do Grupo F</v>
      </c>
      <c r="F7" s="153"/>
      <c r="G7" s="127"/>
      <c r="H7" s="88" t="s">
        <v>22</v>
      </c>
      <c r="I7" s="127"/>
      <c r="J7" s="154"/>
      <c r="K7" s="155" t="str">
        <f>IF('Fase de Grupos'!AH18=3,'Fase de Grupos'!AF18,"2º do Grupo C")</f>
        <v>2º do Grupo C</v>
      </c>
      <c r="L7" s="140" t="str">
        <f t="shared" si="0"/>
        <v/>
      </c>
      <c r="M7" s="137" t="str">
        <f>IF(OR(G7="",I7=""),"Vencedor 75",IF(G7&lt;&gt;I7,IF(G7&gt;I7,E7,K7),IF(SUM(F7:G7)=SUM(I7:J7),"Vencedor 75",IF(SUM(F7:G7)&gt;SUM(I7:J7),E7,K7))))</f>
        <v>Vencedor 75</v>
      </c>
      <c r="N7" s="137">
        <v>75</v>
      </c>
      <c r="W7" s="49"/>
      <c r="X7" s="156" t="s">
        <v>125</v>
      </c>
      <c r="Y7" s="152">
        <v>46214</v>
      </c>
      <c r="Z7" s="40" t="s">
        <v>46</v>
      </c>
      <c r="AA7" s="110" t="str">
        <f>M27</f>
        <v>Vencedor 91</v>
      </c>
      <c r="AB7" s="153"/>
      <c r="AC7" s="127"/>
      <c r="AD7" s="88" t="s">
        <v>22</v>
      </c>
      <c r="AE7" s="127"/>
      <c r="AF7" s="154"/>
      <c r="AG7" s="155" t="str">
        <f>M28</f>
        <v>Vencedor 92</v>
      </c>
      <c r="AH7" s="140" t="str">
        <f t="shared" si="1"/>
        <v/>
      </c>
      <c r="AI7" s="137" t="str">
        <f>IF(OR(AC7="",AE7=""),"Vencedor Q3",IF(AC7&lt;&gt;AE7,IF(AC7&gt;AE7,AA7,AG7),IF(SUM(AB7:AC7)=SUM(AE7:AF7),"Vencedor Q3",IF(SUM(AB7:AC7)&gt;SUM(AE7:AF7),AA7,AG7))))</f>
        <v>Vencedor Q3</v>
      </c>
      <c r="AJ7" s="137"/>
      <c r="AK7" s="137"/>
      <c r="AL7" s="137"/>
      <c r="AM7" s="137"/>
    </row>
    <row r="8" spans="1:39" x14ac:dyDescent="0.25">
      <c r="B8" s="156">
        <v>76</v>
      </c>
      <c r="C8" s="152">
        <v>46202</v>
      </c>
      <c r="D8" s="40" t="s">
        <v>46</v>
      </c>
      <c r="E8" s="110" t="str">
        <f>IF('Fase de Grupos'!AH17=3,'Fase de Grupos'!AF17,"1º do Grupo C")</f>
        <v>1º do Grupo C</v>
      </c>
      <c r="F8" s="153"/>
      <c r="G8" s="127"/>
      <c r="H8" s="88" t="s">
        <v>22</v>
      </c>
      <c r="I8" s="127"/>
      <c r="J8" s="154"/>
      <c r="K8" s="155" t="str">
        <f>IF('Fase de Grupos'!AH36=3,'Fase de Grupos'!AF36,"2º do Grupo F")</f>
        <v>2º do Grupo F</v>
      </c>
      <c r="L8" s="140" t="str">
        <f t="shared" si="0"/>
        <v/>
      </c>
      <c r="M8" s="137" t="str">
        <f>IF(OR(G8="",I8=""),"Vencedor 76",IF(G8&lt;&gt;I8,IF(G8&gt;I8,E8,K8),IF(SUM(F8:G8)=SUM(I8:J8),"Vencedor 76",IF(SUM(F8:G8)&gt;SUM(I8:J8),E8,K8))))</f>
        <v>Vencedor 76</v>
      </c>
      <c r="N8" s="137">
        <v>76</v>
      </c>
      <c r="P8" s="137" t="s">
        <v>102</v>
      </c>
      <c r="Q8" s="137" t="str">
        <f>MID($P$6,1,2)</f>
        <v>3H</v>
      </c>
      <c r="R8" s="17" t="str">
        <f>VLOOKUP(Q8,'Fase de Grupos'!$AR$29:$AS$36,2,FALSE)</f>
        <v>Arábia Saudita</v>
      </c>
      <c r="T8" s="17" t="s">
        <v>102</v>
      </c>
      <c r="U8" s="17">
        <v>5</v>
      </c>
      <c r="W8" s="49"/>
      <c r="X8" s="156" t="s">
        <v>126</v>
      </c>
      <c r="Y8" s="152">
        <v>46214</v>
      </c>
      <c r="Z8" s="40" t="s">
        <v>47</v>
      </c>
      <c r="AA8" s="110" t="str">
        <f>M31</f>
        <v>Vencedor 95</v>
      </c>
      <c r="AB8" s="153"/>
      <c r="AC8" s="127"/>
      <c r="AD8" s="88" t="s">
        <v>22</v>
      </c>
      <c r="AE8" s="127"/>
      <c r="AF8" s="154"/>
      <c r="AG8" s="155" t="str">
        <f>M32</f>
        <v>Vencedor 96</v>
      </c>
      <c r="AH8" s="140" t="str">
        <f t="shared" si="1"/>
        <v/>
      </c>
      <c r="AI8" s="137" t="str">
        <f>IF(OR(AC8="",AE8=""),"Vencedor Q4",IF(AC8&lt;&gt;AE8,IF(AC8&gt;AE8,AA8,AG8),IF(SUM(AB8:AC8)=SUM(AE8:AF8),"Vencedor Q4",IF(SUM(AB8:AC8)&gt;SUM(AE8:AF8),AA8,AG8))))</f>
        <v>Vencedor Q4</v>
      </c>
      <c r="AJ8" s="137"/>
      <c r="AK8" s="137"/>
      <c r="AL8" s="137"/>
      <c r="AM8" s="137"/>
    </row>
    <row r="9" spans="1:39" x14ac:dyDescent="0.25">
      <c r="B9" s="156">
        <v>77</v>
      </c>
      <c r="C9" s="152">
        <v>46203</v>
      </c>
      <c r="D9" s="40" t="s">
        <v>47</v>
      </c>
      <c r="E9" s="110" t="str">
        <f>IF('Fase de Grupos'!AH53=3,'Fase de Grupos'!AF53,"1º do Grupo I")</f>
        <v>1º do Grupo I</v>
      </c>
      <c r="F9" s="153"/>
      <c r="G9" s="127"/>
      <c r="H9" s="88" t="s">
        <v>22</v>
      </c>
      <c r="I9" s="127"/>
      <c r="J9" s="154"/>
      <c r="K9" s="155" t="str">
        <f>IF('Fase de Grupos'!$BL$17=36,R13,"3º C, D, F, G ou H")</f>
        <v>3º C, D, F, G ou H</v>
      </c>
      <c r="L9" s="140" t="str">
        <f t="shared" si="0"/>
        <v/>
      </c>
      <c r="M9" s="137" t="str">
        <f>IF(OR(G9="",I9=""),"Vencedor 77",IF(G9&lt;&gt;I9,IF(G9&gt;I9,E9,K9),IF(SUM(F9:G9)=SUM(I9:J9),"Vencedor 77",IF(SUM(F9:G9)&gt;SUM(I9:J9),E9,K9))))</f>
        <v>Vencedor 77</v>
      </c>
      <c r="N9" s="137">
        <v>77</v>
      </c>
      <c r="P9" s="137" t="s">
        <v>104</v>
      </c>
      <c r="Q9" s="137" t="str">
        <f>MID($P$6,3,2)</f>
        <v>3G</v>
      </c>
      <c r="R9" s="17" t="str">
        <f>VLOOKUP(Q9,'Fase de Grupos'!$AR$29:$AS$36,2,FALSE)</f>
        <v>Irã</v>
      </c>
      <c r="T9" s="17" t="s">
        <v>137</v>
      </c>
      <c r="U9" s="17">
        <f>U8+1</f>
        <v>6</v>
      </c>
      <c r="W9" s="49"/>
      <c r="X9" s="39"/>
      <c r="Y9" s="141"/>
      <c r="Z9" s="39"/>
      <c r="AA9" s="142"/>
      <c r="AB9" s="39"/>
      <c r="AC9" s="39"/>
      <c r="AD9" s="39"/>
      <c r="AE9" s="39"/>
      <c r="AF9" s="39"/>
      <c r="AG9" s="143"/>
      <c r="AH9" s="140"/>
      <c r="AI9" s="137"/>
      <c r="AJ9" s="137"/>
      <c r="AK9" s="137"/>
      <c r="AL9" s="137"/>
      <c r="AM9" s="137"/>
    </row>
    <row r="10" spans="1:39" x14ac:dyDescent="0.25">
      <c r="B10" s="156">
        <v>78</v>
      </c>
      <c r="C10" s="152">
        <v>46203</v>
      </c>
      <c r="D10" s="40" t="s">
        <v>46</v>
      </c>
      <c r="E10" s="110" t="str">
        <f>IF('Fase de Grupos'!AH30=3,'Fase de Grupos'!AF30,"2º do Grupo E")</f>
        <v>2º do Grupo E</v>
      </c>
      <c r="F10" s="153"/>
      <c r="G10" s="127"/>
      <c r="H10" s="88" t="s">
        <v>22</v>
      </c>
      <c r="I10" s="127"/>
      <c r="J10" s="154"/>
      <c r="K10" s="155" t="str">
        <f>IF('Fase de Grupos'!AH54=3,'Fase de Grupos'!AF54,"2º do Grupo I")</f>
        <v>2º do Grupo I</v>
      </c>
      <c r="L10" s="140" t="str">
        <f t="shared" si="0"/>
        <v/>
      </c>
      <c r="M10" s="137" t="str">
        <f>IF(OR(G10="",I10=""),"Vencedor 78",IF(G10&lt;&gt;I10,IF(G10&gt;I10,E10,K10),IF(SUM(F10:G10)=SUM(I10:J10),"Vencedor 78",IF(SUM(F10:G10)&gt;SUM(I10:J10),E10,K10))))</f>
        <v>Vencedor 78</v>
      </c>
      <c r="N10" s="137">
        <v>78</v>
      </c>
      <c r="P10" s="137" t="s">
        <v>105</v>
      </c>
      <c r="Q10" s="137" t="str">
        <f>MID($P$6,5,2)</f>
        <v>3B</v>
      </c>
      <c r="R10" s="17" t="str">
        <f>VLOOKUP(Q10,'Fase de Grupos'!$AR$29:$AS$36,2,FALSE)</f>
        <v>Qatar</v>
      </c>
      <c r="T10" s="17" t="s">
        <v>104</v>
      </c>
      <c r="U10" s="17">
        <f>U9+5</f>
        <v>11</v>
      </c>
      <c r="W10" s="49"/>
      <c r="X10" s="39"/>
      <c r="Y10" s="141"/>
      <c r="Z10" s="39"/>
      <c r="AA10" s="142"/>
      <c r="AB10" s="39"/>
      <c r="AC10" s="39"/>
      <c r="AD10" s="39"/>
      <c r="AE10" s="39"/>
      <c r="AF10" s="39"/>
      <c r="AG10" s="143"/>
      <c r="AH10" s="140"/>
      <c r="AI10" s="137"/>
      <c r="AJ10" s="137"/>
      <c r="AK10" s="137"/>
      <c r="AL10" s="137"/>
      <c r="AM10" s="137"/>
    </row>
    <row r="11" spans="1:39" x14ac:dyDescent="0.25">
      <c r="B11" s="156">
        <v>79</v>
      </c>
      <c r="C11" s="152">
        <v>46203</v>
      </c>
      <c r="D11" s="40" t="s">
        <v>47</v>
      </c>
      <c r="E11" s="110" t="str">
        <f>IF('Fase de Grupos'!AH5=3,'Fase de Grupos'!AF5,"1º do Grupo A")</f>
        <v>1º do Grupo A</v>
      </c>
      <c r="F11" s="153"/>
      <c r="G11" s="127"/>
      <c r="H11" s="88" t="s">
        <v>22</v>
      </c>
      <c r="I11" s="127"/>
      <c r="J11" s="154"/>
      <c r="K11" s="155" t="str">
        <f>IF('Fase de Grupos'!$BL$17=36,R8,"3º C, E, F, H ou I")</f>
        <v>3º C, E, F, H ou I</v>
      </c>
      <c r="L11" s="140" t="str">
        <f t="shared" si="0"/>
        <v/>
      </c>
      <c r="M11" s="137" t="str">
        <f>IF(OR(G11="",I11=""),"Vencedor 79",IF(G11&lt;&gt;I11,IF(G11&gt;I11,E11,K11),IF(SUM(F11:G11)=SUM(I11:J11),"Vencedor 79",IF(SUM(F11:G11)&gt;SUM(I11:J11),E11,K11))))</f>
        <v>Vencedor 79</v>
      </c>
      <c r="N11" s="137">
        <v>79</v>
      </c>
      <c r="P11" s="137" t="s">
        <v>106</v>
      </c>
      <c r="Q11" s="137" t="str">
        <f>MID($P$6,7,2)</f>
        <v>3C</v>
      </c>
      <c r="R11" s="17" t="str">
        <f>VLOOKUP(Q11,'Fase de Grupos'!$AR$29:$AS$36,2,FALSE)</f>
        <v>Haiti</v>
      </c>
      <c r="T11" s="17" t="s">
        <v>138</v>
      </c>
      <c r="U11" s="17">
        <f>U10+1</f>
        <v>12</v>
      </c>
      <c r="W11" s="134"/>
      <c r="X11" s="166" t="s">
        <v>74</v>
      </c>
      <c r="Y11" s="167"/>
      <c r="Z11" s="167"/>
      <c r="AA11" s="167"/>
      <c r="AB11" s="167"/>
      <c r="AC11" s="167"/>
      <c r="AD11" s="167"/>
      <c r="AE11" s="167"/>
      <c r="AF11" s="167"/>
      <c r="AG11" s="168"/>
      <c r="AH11" s="135"/>
      <c r="AI11" s="136"/>
      <c r="AJ11" s="136"/>
      <c r="AK11" s="136"/>
      <c r="AL11" s="136"/>
      <c r="AM11" s="136"/>
    </row>
    <row r="12" spans="1:39" x14ac:dyDescent="0.25">
      <c r="B12" s="156">
        <v>80</v>
      </c>
      <c r="C12" s="152">
        <v>46204</v>
      </c>
      <c r="D12" s="40" t="s">
        <v>46</v>
      </c>
      <c r="E12" s="110" t="str">
        <f>IF('Fase de Grupos'!AH71=3,'Fase de Grupos'!AF71,"1º do Grupo L")</f>
        <v>1º do Grupo L</v>
      </c>
      <c r="F12" s="153"/>
      <c r="G12" s="127"/>
      <c r="H12" s="88" t="s">
        <v>22</v>
      </c>
      <c r="I12" s="127"/>
      <c r="J12" s="154"/>
      <c r="K12" s="155" t="str">
        <f>IF('Fase de Grupos'!$BL$17=36,R15,"3º E, H, I, J ou K")</f>
        <v>3º E, H, I, J ou K</v>
      </c>
      <c r="L12" s="140" t="str">
        <f t="shared" si="0"/>
        <v/>
      </c>
      <c r="M12" s="137" t="str">
        <f>IF(OR(G12="",I12=""),"Vencedor 80",IF(G12&lt;&gt;I12,IF(G12&gt;I12,E12,K12),IF(SUM(F12:G12)=SUM(I12:J12),"Vencedor 80",IF(SUM(F12:G12)&gt;SUM(I12:J12),E12,K12))))</f>
        <v>Vencedor 80</v>
      </c>
      <c r="N12" s="137">
        <v>80</v>
      </c>
      <c r="P12" s="137" t="s">
        <v>107</v>
      </c>
      <c r="Q12" s="137" t="str">
        <f>MID($P$6,9,2)</f>
        <v>3A</v>
      </c>
      <c r="R12" s="17" t="str">
        <f>VLOOKUP(Q12,'Fase de Grupos'!$AR$29:$AS$36,2,FALSE)</f>
        <v>Coreia do Sul</v>
      </c>
      <c r="T12" s="17" t="s">
        <v>139</v>
      </c>
      <c r="U12" s="17">
        <f t="shared" ref="U12" si="2">U11+5</f>
        <v>17</v>
      </c>
      <c r="W12" s="49"/>
      <c r="X12" s="149"/>
      <c r="Y12" s="150" t="s">
        <v>15</v>
      </c>
      <c r="Z12" s="151" t="s">
        <v>16</v>
      </c>
      <c r="AA12" s="169" t="s">
        <v>17</v>
      </c>
      <c r="AB12" s="169"/>
      <c r="AC12" s="169" t="s">
        <v>18</v>
      </c>
      <c r="AD12" s="169"/>
      <c r="AE12" s="169"/>
      <c r="AF12" s="169" t="s">
        <v>17</v>
      </c>
      <c r="AG12" s="169"/>
      <c r="AH12" s="140"/>
      <c r="AI12" s="137"/>
      <c r="AJ12" s="137"/>
      <c r="AK12" s="137"/>
      <c r="AL12" s="137"/>
      <c r="AM12" s="137"/>
    </row>
    <row r="13" spans="1:39" x14ac:dyDescent="0.25">
      <c r="B13" s="156">
        <v>81</v>
      </c>
      <c r="C13" s="152">
        <v>46204</v>
      </c>
      <c r="D13" s="40" t="s">
        <v>46</v>
      </c>
      <c r="E13" s="110" t="str">
        <f>IF('Fase de Grupos'!AH23=3,'Fase de Grupos'!AF23,"1º do Grupo D")</f>
        <v>1º do Grupo D</v>
      </c>
      <c r="F13" s="153"/>
      <c r="G13" s="127"/>
      <c r="H13" s="88" t="s">
        <v>22</v>
      </c>
      <c r="I13" s="127"/>
      <c r="J13" s="154"/>
      <c r="K13" s="155" t="str">
        <f>IF('Fase de Grupos'!$BL$17=36,R10,"3º B, E, F, I ou J")</f>
        <v>3º B, E, F, I ou J</v>
      </c>
      <c r="L13" s="140" t="str">
        <f>IF(OR(G13="",I13=""),"",IF(G13=I13,"emp",""))</f>
        <v/>
      </c>
      <c r="M13" s="137" t="str">
        <f>IF(OR(G13="",I13=""),"Vencedor 81",IF(G13&lt;&gt;I13,IF(G13&gt;I13,E13,K13),IF(SUM(F13:G13)=SUM(I13:J13),"Vencedor 81",IF(SUM(F13:G13)&gt;SUM(I13:J13),E13,K13))))</f>
        <v>Vencedor 81</v>
      </c>
      <c r="N13" s="137">
        <v>81</v>
      </c>
      <c r="P13" s="137" t="s">
        <v>108</v>
      </c>
      <c r="Q13" s="137" t="str">
        <f>MID($P$6,11,2)</f>
        <v>3F</v>
      </c>
      <c r="R13" s="17" t="str">
        <f>VLOOKUP(Q13,'Fase de Grupos'!$AR$29:$AS$36,2,FALSE)</f>
        <v>Suécia</v>
      </c>
      <c r="T13" s="17" t="s">
        <v>140</v>
      </c>
      <c r="U13" s="17">
        <f t="shared" ref="U13" si="3">U12+1</f>
        <v>18</v>
      </c>
      <c r="W13" s="49"/>
      <c r="X13" s="156" t="s">
        <v>75</v>
      </c>
      <c r="Y13" s="152">
        <v>46217</v>
      </c>
      <c r="Z13" s="40" t="s">
        <v>46</v>
      </c>
      <c r="AA13" s="110" t="str">
        <f>AI5</f>
        <v>Vencedor Q1</v>
      </c>
      <c r="AB13" s="153"/>
      <c r="AC13" s="127"/>
      <c r="AD13" s="88" t="s">
        <v>22</v>
      </c>
      <c r="AE13" s="127"/>
      <c r="AF13" s="154"/>
      <c r="AG13" s="155" t="str">
        <f>AI6</f>
        <v>Vencedor Q2</v>
      </c>
      <c r="AH13" s="140" t="str">
        <f>IF(OR(AC13="",AE13=""),"",IF(AC13=AE13,"emp",""))</f>
        <v/>
      </c>
      <c r="AI13" s="137" t="str">
        <f>IF(OR(AC13="",AE13=""),"Vencedor S1",IF(AC13&lt;&gt;AE13,IF(AC13&gt;AE13,AA13,AG13),IF(SUM(AB13:AC13)=SUM(AE13:AF13),"Vencedor S1",IF(SUM(AB13:AC13)&gt;SUM(AE13:AF13),AA13,AG13))))</f>
        <v>Vencedor S1</v>
      </c>
      <c r="AJ13" s="137"/>
      <c r="AK13" s="137"/>
      <c r="AL13" s="137"/>
      <c r="AM13" s="137"/>
    </row>
    <row r="14" spans="1:39" x14ac:dyDescent="0.25">
      <c r="B14" s="156">
        <v>82</v>
      </c>
      <c r="C14" s="152">
        <v>46204</v>
      </c>
      <c r="D14" s="40" t="s">
        <v>47</v>
      </c>
      <c r="E14" s="110" t="str">
        <f>IF('Fase de Grupos'!AH41=3,'Fase de Grupos'!AF41,"1º do Grupo G")</f>
        <v>1º do Grupo G</v>
      </c>
      <c r="F14" s="153"/>
      <c r="G14" s="127"/>
      <c r="H14" s="88" t="s">
        <v>22</v>
      </c>
      <c r="I14" s="127"/>
      <c r="J14" s="154"/>
      <c r="K14" s="155" t="str">
        <f>IF('Fase de Grupos'!$BL$17=36,R12,"3º A, E, H, I ou J")</f>
        <v>3º A, E, H, I ou J</v>
      </c>
      <c r="L14" s="140" t="str">
        <f t="shared" ref="L14:L20" si="4">IF(OR(G14="",I14=""),"",IF(G14=I14,"emp",""))</f>
        <v/>
      </c>
      <c r="M14" s="137" t="str">
        <f>IF(OR(G14="",I14=""),"Vencedor 82",IF(G14&lt;&gt;I14,IF(G14&gt;I14,E14,K14),IF(SUM(F14:G14)=SUM(I14:J14),"Vencedor 82",IF(SUM(F14:G14)&gt;SUM(I14:J14),E14,K14))))</f>
        <v>Vencedor 82</v>
      </c>
      <c r="N14" s="137">
        <v>82</v>
      </c>
      <c r="P14" s="137" t="s">
        <v>109</v>
      </c>
      <c r="Q14" s="137" t="str">
        <f>MID($P$6,13,2)</f>
        <v>3D</v>
      </c>
      <c r="R14" s="17" t="str">
        <f>VLOOKUP(Q14,'Fase de Grupos'!$AR$29:$AS$36,2,FALSE)</f>
        <v>Austrália</v>
      </c>
      <c r="T14" s="17" t="s">
        <v>105</v>
      </c>
      <c r="U14" s="17">
        <f t="shared" ref="U14" si="5">U13+5</f>
        <v>23</v>
      </c>
      <c r="W14" s="49"/>
      <c r="X14" s="156" t="s">
        <v>76</v>
      </c>
      <c r="Y14" s="152">
        <v>46217</v>
      </c>
      <c r="Z14" s="40" t="s">
        <v>46</v>
      </c>
      <c r="AA14" s="110" t="str">
        <f>AI7</f>
        <v>Vencedor Q3</v>
      </c>
      <c r="AB14" s="153"/>
      <c r="AC14" s="127"/>
      <c r="AD14" s="88" t="s">
        <v>22</v>
      </c>
      <c r="AE14" s="127"/>
      <c r="AF14" s="154"/>
      <c r="AG14" s="155" t="str">
        <f>AI8</f>
        <v>Vencedor Q4</v>
      </c>
      <c r="AH14" s="140" t="str">
        <f t="shared" ref="AH14" si="6">IF(OR(AC14="",AE14=""),"",IF(AC14=AE14,"emp",""))</f>
        <v/>
      </c>
      <c r="AI14" s="137" t="str">
        <f>IF(OR(AC14="",AE14=""),"Vencedor S2",IF(AC14&lt;&gt;AE14,IF(AC14&gt;AE14,AA14,AG14),IF(SUM(AB14:AC14)=SUM(AE14:AF14),"Vencedor S2",IF(SUM(AB14:AC14)&gt;SUM(AE14:AF14),AA14,AG14))))</f>
        <v>Vencedor S2</v>
      </c>
      <c r="AJ14" s="137"/>
      <c r="AK14" s="137"/>
      <c r="AL14" s="137"/>
      <c r="AM14" s="137"/>
    </row>
    <row r="15" spans="1:39" x14ac:dyDescent="0.25">
      <c r="B15" s="156">
        <v>83</v>
      </c>
      <c r="C15" s="152">
        <v>46205</v>
      </c>
      <c r="D15" s="40" t="s">
        <v>47</v>
      </c>
      <c r="E15" s="110" t="str">
        <f>IF('Fase de Grupos'!AH66=3,'Fase de Grupos'!AF66,"2º do Grupo K")</f>
        <v>2º do Grupo K</v>
      </c>
      <c r="F15" s="153"/>
      <c r="G15" s="127"/>
      <c r="H15" s="88" t="s">
        <v>22</v>
      </c>
      <c r="I15" s="127"/>
      <c r="J15" s="154"/>
      <c r="K15" s="155" t="str">
        <f>IF('Fase de Grupos'!AH72=3,'Fase de Grupos'!AF72,"2º do Grupo L")</f>
        <v>2º do Grupo L</v>
      </c>
      <c r="L15" s="140" t="str">
        <f t="shared" si="4"/>
        <v/>
      </c>
      <c r="M15" s="137" t="str">
        <f>IF(OR(G15="",I15=""),"Vencedor 83",IF(G15&lt;&gt;I15,IF(G15&gt;I15,E15,K15),IF(SUM(F15:G15)=SUM(I15:J15),"Vencedor 83",IF(SUM(F15:G15)&gt;SUM(I15:J15),E15,K15))))</f>
        <v>Vencedor 83</v>
      </c>
      <c r="N15" s="137">
        <v>83</v>
      </c>
      <c r="P15" s="137" t="s">
        <v>110</v>
      </c>
      <c r="Q15" s="137" t="str">
        <f>MID($P$6,15,2)</f>
        <v>3E</v>
      </c>
      <c r="R15" s="17" t="str">
        <f>VLOOKUP(Q15,'Fase de Grupos'!$AR$29:$AS$36,2,FALSE)</f>
        <v>Costa do Marfim</v>
      </c>
      <c r="T15" s="17" t="s">
        <v>135</v>
      </c>
      <c r="U15" s="17">
        <f t="shared" ref="U15" si="7">U14+1</f>
        <v>24</v>
      </c>
      <c r="W15" s="49"/>
      <c r="X15" s="39"/>
      <c r="Y15" s="141"/>
      <c r="Z15" s="39"/>
      <c r="AA15" s="142"/>
      <c r="AB15" s="39"/>
      <c r="AC15" s="39"/>
      <c r="AD15" s="39"/>
      <c r="AE15" s="39"/>
      <c r="AF15" s="39"/>
      <c r="AG15" s="143"/>
      <c r="AH15" s="140"/>
      <c r="AI15" s="137" t="str">
        <f>IF(OR(AC13="",AE13=""),"Perdedor S1",IF(AC13&lt;&gt;AE13,IF(AC13&lt;AE13,AA13,AG13),IF(SUM(AB13:AC13)=SUM(AE13:AF13),"Perdedor S1",IF(SUM(AB13:AC13)&lt;SUM(AE13:AF13),AA13,AG13))))</f>
        <v>Perdedor S1</v>
      </c>
      <c r="AJ15" s="137"/>
      <c r="AK15" s="137"/>
      <c r="AL15" s="137"/>
      <c r="AM15" s="137"/>
    </row>
    <row r="16" spans="1:39" x14ac:dyDescent="0.25">
      <c r="B16" s="156">
        <v>84</v>
      </c>
      <c r="C16" s="152">
        <v>46205</v>
      </c>
      <c r="D16" s="40" t="s">
        <v>46</v>
      </c>
      <c r="E16" s="110" t="str">
        <f>IF('Fase de Grupos'!AH47=3,'Fase de Grupos'!AF47,"1º do Grupo H")</f>
        <v>1º do Grupo H</v>
      </c>
      <c r="F16" s="153"/>
      <c r="G16" s="127"/>
      <c r="H16" s="88" t="s">
        <v>22</v>
      </c>
      <c r="I16" s="127"/>
      <c r="J16" s="154"/>
      <c r="K16" s="155" t="str">
        <f>IF('Fase de Grupos'!AH60=3,'Fase de Grupos'!AF60,"2º do Grupo J")</f>
        <v>2º do Grupo J</v>
      </c>
      <c r="L16" s="140" t="str">
        <f t="shared" si="4"/>
        <v/>
      </c>
      <c r="M16" s="137" t="str">
        <f>IF(OR(G16="",I16=""),"Vencedor 84",IF(G16&lt;&gt;I16,IF(G16&gt;I16,E16,K16),IF(SUM(F16:G16)=SUM(I16:J16),"Vencedor 84",IF(SUM(F16:G16)&gt;SUM(I16:J16),E16,K16))))</f>
        <v>Vencedor 84</v>
      </c>
      <c r="N16" s="137">
        <v>84</v>
      </c>
      <c r="T16" s="17" t="s">
        <v>106</v>
      </c>
      <c r="U16" s="17">
        <f t="shared" ref="U16" si="8">U15+5</f>
        <v>29</v>
      </c>
      <c r="W16" s="49"/>
      <c r="X16" s="39"/>
      <c r="Y16" s="141"/>
      <c r="Z16" s="39"/>
      <c r="AA16" s="142"/>
      <c r="AB16" s="39"/>
      <c r="AC16" s="39"/>
      <c r="AD16" s="39"/>
      <c r="AE16" s="39"/>
      <c r="AF16" s="39"/>
      <c r="AG16" s="143"/>
      <c r="AH16" s="140"/>
      <c r="AI16" s="137" t="str">
        <f>IF(OR(AC14="",AE14=""),"Perdedor S2",IF(AC14&lt;&gt;AE14,IF(AC14&lt;AE14,AA14,AG14),IF(SUM(AB14:AC14)=SUM(AE14:AF14),"Perdedor S2",IF(SUM(AB14:AC14)&lt;SUM(AE14:AF14),AA14,AG14))))</f>
        <v>Perdedor S2</v>
      </c>
      <c r="AJ16" s="137"/>
      <c r="AK16" s="137"/>
      <c r="AL16" s="137"/>
      <c r="AM16" s="137"/>
    </row>
    <row r="17" spans="1:39" x14ac:dyDescent="0.25">
      <c r="B17" s="156">
        <v>85</v>
      </c>
      <c r="C17" s="152">
        <v>46205</v>
      </c>
      <c r="D17" s="40" t="s">
        <v>47</v>
      </c>
      <c r="E17" s="110" t="str">
        <f>IF('Fase de Grupos'!AH11=3,'Fase de Grupos'!AF11,"1º do Grupo B")</f>
        <v>1º do Grupo B</v>
      </c>
      <c r="F17" s="153"/>
      <c r="G17" s="127"/>
      <c r="H17" s="88" t="s">
        <v>22</v>
      </c>
      <c r="I17" s="127"/>
      <c r="J17" s="154"/>
      <c r="K17" s="155" t="str">
        <f>IF('Fase de Grupos'!$BL$17=36,R9,"3º E, F, G, I ou J")</f>
        <v>3º E, F, G, I ou J</v>
      </c>
      <c r="L17" s="140" t="str">
        <f t="shared" si="4"/>
        <v/>
      </c>
      <c r="M17" s="137" t="str">
        <f>IF(OR(G17="",I17=""),"Vencedor 85",IF(G17&lt;&gt;I17,IF(G17&gt;I17,E17,K17),IF(SUM(F17:G17)=SUM(I17:J17),"Vencedor 85",IF(SUM(F17:G17)&gt;SUM(I17:J17),E17,K17))))</f>
        <v>Vencedor 85</v>
      </c>
      <c r="N17" s="137">
        <v>85</v>
      </c>
      <c r="T17" s="17" t="s">
        <v>127</v>
      </c>
      <c r="U17" s="17">
        <f t="shared" ref="U17" si="9">U16+1</f>
        <v>30</v>
      </c>
      <c r="W17" s="134"/>
      <c r="X17" s="166" t="s">
        <v>77</v>
      </c>
      <c r="Y17" s="167"/>
      <c r="Z17" s="167"/>
      <c r="AA17" s="167"/>
      <c r="AB17" s="167"/>
      <c r="AC17" s="167"/>
      <c r="AD17" s="167"/>
      <c r="AE17" s="167"/>
      <c r="AF17" s="167"/>
      <c r="AG17" s="168"/>
      <c r="AH17" s="135"/>
      <c r="AI17" s="136"/>
      <c r="AJ17" s="136"/>
      <c r="AK17" s="136"/>
      <c r="AL17" s="136"/>
      <c r="AM17" s="136"/>
    </row>
    <row r="18" spans="1:39" x14ac:dyDescent="0.25">
      <c r="B18" s="156">
        <v>86</v>
      </c>
      <c r="C18" s="152">
        <v>46206</v>
      </c>
      <c r="D18" s="40" t="s">
        <v>46</v>
      </c>
      <c r="E18" s="110" t="str">
        <f>IF('Fase de Grupos'!AH59=3,'Fase de Grupos'!AF59,"1º do Grupo J")</f>
        <v>1º do Grupo J</v>
      </c>
      <c r="F18" s="153"/>
      <c r="G18" s="127"/>
      <c r="H18" s="88" t="s">
        <v>22</v>
      </c>
      <c r="I18" s="127"/>
      <c r="J18" s="154"/>
      <c r="K18" s="155" t="str">
        <f>IF('Fase de Grupos'!AH48=3,'Fase de Grupos'!AF48,"2º do Grupo H")</f>
        <v>2º do Grupo H</v>
      </c>
      <c r="L18" s="140" t="str">
        <f t="shared" si="4"/>
        <v/>
      </c>
      <c r="M18" s="137" t="str">
        <f>IF(OR(G18="",I18=""),"Vencedor 86",IF(G18&lt;&gt;I18,IF(G18&gt;I18,E18,K18),IF(SUM(F18:G18)=SUM(I18:J18),"Vencedor 86",IF(SUM(F18:G18)&gt;SUM(I18:J18),E18,K18))))</f>
        <v>Vencedor 86</v>
      </c>
      <c r="N18" s="137">
        <v>86</v>
      </c>
      <c r="T18" s="17" t="s">
        <v>141</v>
      </c>
      <c r="U18" s="17">
        <f t="shared" ref="U18" si="10">U17+5</f>
        <v>35</v>
      </c>
      <c r="W18" s="49"/>
      <c r="X18" s="149"/>
      <c r="Y18" s="150" t="s">
        <v>15</v>
      </c>
      <c r="Z18" s="151" t="s">
        <v>16</v>
      </c>
      <c r="AA18" s="169" t="s">
        <v>17</v>
      </c>
      <c r="AB18" s="169"/>
      <c r="AC18" s="169" t="s">
        <v>18</v>
      </c>
      <c r="AD18" s="169"/>
      <c r="AE18" s="169"/>
      <c r="AF18" s="169" t="s">
        <v>17</v>
      </c>
      <c r="AG18" s="169"/>
      <c r="AH18" s="140"/>
      <c r="AI18" s="137"/>
      <c r="AJ18" s="137"/>
      <c r="AK18" s="137"/>
      <c r="AL18" s="137"/>
      <c r="AM18" s="137"/>
    </row>
    <row r="19" spans="1:39" x14ac:dyDescent="0.25">
      <c r="B19" s="156">
        <v>87</v>
      </c>
      <c r="C19" s="152">
        <v>46206</v>
      </c>
      <c r="D19" s="40" t="s">
        <v>47</v>
      </c>
      <c r="E19" s="110" t="str">
        <f>IF('Fase de Grupos'!AH65=3,'Fase de Grupos'!AF65,"1º do Grupo K")</f>
        <v>1º do Grupo K</v>
      </c>
      <c r="F19" s="153"/>
      <c r="G19" s="127"/>
      <c r="H19" s="88" t="s">
        <v>22</v>
      </c>
      <c r="I19" s="127"/>
      <c r="J19" s="154"/>
      <c r="K19" s="155" t="str">
        <f>IF('Fase de Grupos'!$BL$17=36,R14,"3º D, E, I, J ou L")</f>
        <v>3º D, E, I, J ou L</v>
      </c>
      <c r="L19" s="140" t="str">
        <f t="shared" si="4"/>
        <v/>
      </c>
      <c r="M19" s="137" t="str">
        <f>IF(OR(G19="",I19=""),"Vencedor 87",IF(G19&lt;&gt;I19,IF(G19&gt;I19,E19,K19),IF(SUM(F19:G19)=SUM(I19:J19),"Vencedor 87",IF(SUM(F19:G19)&gt;SUM(I19:J19),E19,K19))))</f>
        <v>Vencedor 87</v>
      </c>
      <c r="N19" s="137">
        <v>87</v>
      </c>
      <c r="T19" s="17" t="s">
        <v>142</v>
      </c>
      <c r="U19" s="17">
        <f t="shared" ref="U19" si="11">U18+1</f>
        <v>36</v>
      </c>
      <c r="W19" s="49"/>
      <c r="X19" s="156" t="s">
        <v>78</v>
      </c>
      <c r="Y19" s="152">
        <v>46221</v>
      </c>
      <c r="Z19" s="40" t="s">
        <v>47</v>
      </c>
      <c r="AA19" s="110" t="str">
        <f>AI15</f>
        <v>Perdedor S1</v>
      </c>
      <c r="AB19" s="153"/>
      <c r="AC19" s="127"/>
      <c r="AD19" s="88" t="s">
        <v>22</v>
      </c>
      <c r="AE19" s="127"/>
      <c r="AF19" s="154"/>
      <c r="AG19" s="155" t="str">
        <f>AI16</f>
        <v>Perdedor S2</v>
      </c>
      <c r="AH19" s="140" t="str">
        <f>IF(OR(AC19="",AE19=""),"",IF(AC19=AE19,"emp",""))</f>
        <v/>
      </c>
      <c r="AI19" s="137" t="str">
        <f>IF(OR(AC19="",AE19=""),"3º Lugar",IF(AC19&lt;&gt;AE19,IF(AC19&gt;AE19,AA19,AG19),IF(SUM(AB19:AC19)=SUM(AE19:AF19),"3º Lugar",IF(SUM(AB19:AC19)&gt;SUM(AE19:AF19),AA19,AG19))))</f>
        <v>3º Lugar</v>
      </c>
      <c r="AJ19" s="137"/>
      <c r="AK19" s="137"/>
      <c r="AL19" s="137"/>
      <c r="AM19" s="137"/>
    </row>
    <row r="20" spans="1:39" x14ac:dyDescent="0.25">
      <c r="B20" s="156">
        <v>88</v>
      </c>
      <c r="C20" s="152">
        <v>46206</v>
      </c>
      <c r="D20" s="40" t="s">
        <v>46</v>
      </c>
      <c r="E20" s="110" t="str">
        <f>IF('Fase de Grupos'!AH24=3,'Fase de Grupos'!AF24,"2º do Grupo D")</f>
        <v>2º do Grupo D</v>
      </c>
      <c r="F20" s="153"/>
      <c r="G20" s="127"/>
      <c r="H20" s="88" t="s">
        <v>22</v>
      </c>
      <c r="I20" s="127"/>
      <c r="J20" s="154"/>
      <c r="K20" s="155" t="str">
        <f>IF('Fase de Grupos'!AH42=3,'Fase de Grupos'!AF42,"2º do Grupo G")</f>
        <v>2º do Grupo G</v>
      </c>
      <c r="L20" s="140" t="str">
        <f t="shared" si="4"/>
        <v/>
      </c>
      <c r="M20" s="137" t="str">
        <f>IF(OR(G20="",I20=""),"Vencedor 88",IF(G20&lt;&gt;I20,IF(G20&gt;I20,E20,K20),IF(SUM(F20:G20)=SUM(I20:J20),"Vencedor 88",IF(SUM(F20:G20)&gt;SUM(I20:J20),E20,K20))))</f>
        <v>Vencedor 88</v>
      </c>
      <c r="N20" s="137">
        <v>88</v>
      </c>
      <c r="T20" s="17" t="s">
        <v>107</v>
      </c>
      <c r="U20" s="17">
        <f t="shared" ref="U20" si="12">U19+5</f>
        <v>41</v>
      </c>
      <c r="W20" s="49"/>
      <c r="X20" s="39"/>
      <c r="Y20" s="141"/>
      <c r="Z20" s="39"/>
      <c r="AA20" s="142"/>
      <c r="AB20" s="39"/>
      <c r="AC20" s="39"/>
      <c r="AD20" s="39"/>
      <c r="AE20" s="39"/>
      <c r="AF20" s="39"/>
      <c r="AG20" s="143"/>
      <c r="AH20" s="140"/>
      <c r="AI20" s="137" t="str">
        <f>IF(OR(AC19="",AE19=""),"4º Lugar",IF(AC19&lt;&gt;AE19,IF(AC19&lt;AE19,AA19,AG19),IF(SUM(AB19:AC19)=SUM(AE19:AF19),"4º Lugar",IF(SUM(AB19:AC19)&lt;SUM(AE19:AF19),AA19,AG19))))</f>
        <v>4º Lugar</v>
      </c>
      <c r="AJ20" s="137"/>
      <c r="AK20" s="137"/>
      <c r="AL20" s="137"/>
      <c r="AM20" s="137"/>
    </row>
    <row r="21" spans="1:39" x14ac:dyDescent="0.25">
      <c r="T21" s="17" t="s">
        <v>136</v>
      </c>
      <c r="U21" s="17">
        <f t="shared" ref="U21" si="13">U20+1</f>
        <v>42</v>
      </c>
      <c r="W21" s="49"/>
      <c r="X21" s="39"/>
      <c r="Y21" s="141"/>
      <c r="Z21" s="39"/>
      <c r="AA21" s="142"/>
      <c r="AB21" s="39"/>
      <c r="AC21" s="39"/>
      <c r="AD21" s="39"/>
      <c r="AE21" s="39"/>
      <c r="AF21" s="39"/>
      <c r="AG21" s="143"/>
      <c r="AH21" s="140"/>
      <c r="AI21" s="137"/>
      <c r="AJ21" s="137"/>
      <c r="AK21" s="137"/>
      <c r="AL21" s="137"/>
      <c r="AM21" s="137"/>
    </row>
    <row r="22" spans="1:39" x14ac:dyDescent="0.25">
      <c r="T22" s="17" t="s">
        <v>131</v>
      </c>
      <c r="U22" s="17">
        <f t="shared" ref="U22" si="14">U21+5</f>
        <v>47</v>
      </c>
      <c r="W22" s="134"/>
      <c r="AM22" s="136"/>
    </row>
    <row r="23" spans="1:39" x14ac:dyDescent="0.25">
      <c r="A23" s="134"/>
      <c r="B23" s="166" t="s">
        <v>72</v>
      </c>
      <c r="C23" s="167"/>
      <c r="D23" s="167"/>
      <c r="E23" s="167"/>
      <c r="F23" s="167"/>
      <c r="G23" s="167"/>
      <c r="H23" s="167"/>
      <c r="I23" s="167"/>
      <c r="J23" s="167"/>
      <c r="K23" s="168"/>
      <c r="L23" s="135"/>
      <c r="M23" s="136"/>
      <c r="N23" s="136"/>
      <c r="O23" s="136"/>
      <c r="P23" s="136"/>
      <c r="Q23" s="136"/>
      <c r="T23" s="17" t="s">
        <v>134</v>
      </c>
      <c r="U23" s="17">
        <f t="shared" ref="U23" si="15">U22+1</f>
        <v>48</v>
      </c>
      <c r="W23" s="49"/>
      <c r="X23" s="166" t="s">
        <v>79</v>
      </c>
      <c r="Y23" s="167"/>
      <c r="Z23" s="167"/>
      <c r="AA23" s="167"/>
      <c r="AB23" s="167"/>
      <c r="AC23" s="167"/>
      <c r="AD23" s="167"/>
      <c r="AE23" s="167"/>
      <c r="AF23" s="167"/>
      <c r="AG23" s="168"/>
      <c r="AH23" s="135"/>
      <c r="AI23" s="136"/>
      <c r="AJ23" s="136"/>
      <c r="AK23" s="136"/>
      <c r="AM23" s="137"/>
    </row>
    <row r="24" spans="1:39" x14ac:dyDescent="0.25">
      <c r="A24" s="138"/>
      <c r="B24" s="149"/>
      <c r="C24" s="150" t="s">
        <v>15</v>
      </c>
      <c r="D24" s="151" t="s">
        <v>16</v>
      </c>
      <c r="E24" s="169" t="s">
        <v>17</v>
      </c>
      <c r="F24" s="169"/>
      <c r="G24" s="169" t="s">
        <v>18</v>
      </c>
      <c r="H24" s="169"/>
      <c r="I24" s="169"/>
      <c r="J24" s="169" t="s">
        <v>17</v>
      </c>
      <c r="K24" s="169"/>
      <c r="L24" s="139"/>
      <c r="M24" s="139"/>
      <c r="N24" s="139"/>
      <c r="O24" s="139"/>
      <c r="P24" s="139"/>
      <c r="Q24" s="139"/>
      <c r="T24" s="17" t="s">
        <v>108</v>
      </c>
      <c r="U24" s="17">
        <f t="shared" ref="U24" si="16">U23+5</f>
        <v>53</v>
      </c>
      <c r="W24" s="49"/>
      <c r="X24" s="149"/>
      <c r="Y24" s="150" t="s">
        <v>15</v>
      </c>
      <c r="Z24" s="151" t="s">
        <v>16</v>
      </c>
      <c r="AA24" s="169" t="s">
        <v>17</v>
      </c>
      <c r="AB24" s="169"/>
      <c r="AC24" s="169" t="s">
        <v>18</v>
      </c>
      <c r="AD24" s="169"/>
      <c r="AE24" s="169"/>
      <c r="AF24" s="169" t="s">
        <v>17</v>
      </c>
      <c r="AG24" s="169"/>
      <c r="AH24" s="140"/>
      <c r="AI24" s="137"/>
      <c r="AJ24" s="137"/>
      <c r="AK24" s="137"/>
      <c r="AM24" s="137"/>
    </row>
    <row r="25" spans="1:39" x14ac:dyDescent="0.25">
      <c r="B25" s="156">
        <v>89</v>
      </c>
      <c r="C25" s="152">
        <v>46207</v>
      </c>
      <c r="D25" s="40" t="s">
        <v>46</v>
      </c>
      <c r="E25" s="110" t="str">
        <f>M6</f>
        <v>Vencedor 74</v>
      </c>
      <c r="F25" s="153"/>
      <c r="G25" s="127"/>
      <c r="H25" s="88" t="s">
        <v>22</v>
      </c>
      <c r="I25" s="127"/>
      <c r="J25" s="154"/>
      <c r="K25" s="155" t="str">
        <f>M9</f>
        <v>Vencedor 77</v>
      </c>
      <c r="L25" s="140" t="str">
        <f>IF(OR(G25="",I25=""),"",IF(G25=I25,"emp",""))</f>
        <v/>
      </c>
      <c r="M25" s="137" t="str">
        <f>IF(OR(G25="",I25=""),"Vencedor 89",IF(G25&lt;&gt;I25,IF(G25&gt;I25,E25,K25),IF(SUM(F25:G25)=SUM(I25:J25),"Vencedor 89",IF(SUM(F25:G25)&gt;SUM(I25:J25),E25,K25))))</f>
        <v>Vencedor 89</v>
      </c>
      <c r="N25" s="137">
        <v>89</v>
      </c>
      <c r="T25" s="17" t="s">
        <v>128</v>
      </c>
      <c r="U25" s="17">
        <f t="shared" ref="U25" si="17">U24+1</f>
        <v>54</v>
      </c>
      <c r="X25" s="156" t="s">
        <v>80</v>
      </c>
      <c r="Y25" s="152">
        <v>46222</v>
      </c>
      <c r="Z25" s="40" t="s">
        <v>21</v>
      </c>
      <c r="AA25" s="110" t="str">
        <f>AI13</f>
        <v>Vencedor S1</v>
      </c>
      <c r="AB25" s="153"/>
      <c r="AC25" s="127"/>
      <c r="AD25" s="88" t="s">
        <v>22</v>
      </c>
      <c r="AE25" s="127"/>
      <c r="AF25" s="154"/>
      <c r="AG25" s="155" t="str">
        <f>AI14</f>
        <v>Vencedor S2</v>
      </c>
      <c r="AH25" s="140" t="str">
        <f>IF(OR(AC25="",AE25=""),"",IF(AC25=AE25,"emp",""))</f>
        <v/>
      </c>
      <c r="AI25" s="137" t="str">
        <f>IF(OR(AC25="",AE25=""),"1º Lugar",IF(AC25&lt;&gt;AE25,IF(AC25&gt;AE25,AA25,AG25),IF(SUM(AB25:AC25)=SUM(AE25:AF25),"1º Lugar",IF(SUM(AB25:AC25)&gt;SUM(AE25:AF25),AA25,AG25))))</f>
        <v>1º Lugar</v>
      </c>
      <c r="AJ25" s="137"/>
      <c r="AK25" s="137"/>
    </row>
    <row r="26" spans="1:39" x14ac:dyDescent="0.25">
      <c r="B26" s="156">
        <v>90</v>
      </c>
      <c r="C26" s="152">
        <v>46207</v>
      </c>
      <c r="D26" s="40" t="s">
        <v>47</v>
      </c>
      <c r="E26" s="110" t="str">
        <f>M5</f>
        <v>Vencedor 73</v>
      </c>
      <c r="F26" s="153"/>
      <c r="G26" s="127"/>
      <c r="H26" s="88" t="s">
        <v>22</v>
      </c>
      <c r="I26" s="127"/>
      <c r="J26" s="154"/>
      <c r="K26" s="155" t="str">
        <f>M7</f>
        <v>Vencedor 75</v>
      </c>
      <c r="L26" s="140" t="str">
        <f t="shared" ref="L26:L32" si="18">IF(OR(G26="",I26=""),"",IF(G26=I26,"emp",""))</f>
        <v/>
      </c>
      <c r="M26" s="137" t="str">
        <f>IF(OR(G26="",I26=""),"Vencedor 90",IF(G26&lt;&gt;I26,IF(G26&gt;I26,E26,K26),IF(SUM(F26:G26)=SUM(I26:J26),"Vencedor 90",IF(SUM(F26:G26)&gt;SUM(I26:J26),E26,K26))))</f>
        <v>Vencedor 90</v>
      </c>
      <c r="N26" s="137">
        <v>90</v>
      </c>
      <c r="T26" s="17" t="s">
        <v>133</v>
      </c>
      <c r="U26" s="17">
        <f t="shared" ref="U26" si="19">U25+5</f>
        <v>59</v>
      </c>
    </row>
    <row r="27" spans="1:39" x14ac:dyDescent="0.25">
      <c r="B27" s="156">
        <v>91</v>
      </c>
      <c r="C27" s="152">
        <v>46208</v>
      </c>
      <c r="D27" s="40" t="s">
        <v>47</v>
      </c>
      <c r="E27" s="110" t="str">
        <f>M8</f>
        <v>Vencedor 76</v>
      </c>
      <c r="F27" s="153"/>
      <c r="G27" s="127"/>
      <c r="H27" s="88" t="s">
        <v>22</v>
      </c>
      <c r="I27" s="127"/>
      <c r="J27" s="154"/>
      <c r="K27" s="155" t="str">
        <f>M10</f>
        <v>Vencedor 78</v>
      </c>
      <c r="L27" s="140" t="str">
        <f t="shared" si="18"/>
        <v/>
      </c>
      <c r="M27" s="137" t="str">
        <f>IF(OR(G27="",I27=""),"Vencedor 91",IF(G27&lt;&gt;I27,IF(G27&gt;I27,E27,K27),IF(SUM(F27:G27)=SUM(I27:J27),"Vencedor 91",IF(SUM(F27:G27)&gt;SUM(I27:J27),E27,K27))))</f>
        <v>Vencedor 91</v>
      </c>
      <c r="N27" s="137">
        <v>91</v>
      </c>
      <c r="T27" s="17" t="s">
        <v>132</v>
      </c>
      <c r="U27" s="17">
        <f t="shared" ref="U27" si="20">U26+1</f>
        <v>60</v>
      </c>
    </row>
    <row r="28" spans="1:39" x14ac:dyDescent="0.25">
      <c r="B28" s="156">
        <v>92</v>
      </c>
      <c r="C28" s="152">
        <v>46208</v>
      </c>
      <c r="D28" s="40" t="s">
        <v>46</v>
      </c>
      <c r="E28" s="110" t="str">
        <f>M11</f>
        <v>Vencedor 79</v>
      </c>
      <c r="F28" s="153"/>
      <c r="G28" s="127"/>
      <c r="H28" s="88" t="s">
        <v>22</v>
      </c>
      <c r="I28" s="127"/>
      <c r="J28" s="154"/>
      <c r="K28" s="155" t="str">
        <f>M12</f>
        <v>Vencedor 80</v>
      </c>
      <c r="L28" s="140" t="str">
        <f t="shared" si="18"/>
        <v/>
      </c>
      <c r="M28" s="137" t="str">
        <f>IF(OR(G28="",I28=""),"Vencedor 92",IF(G28&lt;&gt;I28,IF(G28&gt;I28,E28,K28),IF(SUM(F28:G28)=SUM(I28:J28),"Vencedor 92",IF(SUM(F28:G28)&gt;SUM(I28:J28),E28,K28))))</f>
        <v>Vencedor 92</v>
      </c>
      <c r="N28" s="137">
        <v>92</v>
      </c>
      <c r="T28" s="17" t="s">
        <v>109</v>
      </c>
      <c r="U28" s="17">
        <f t="shared" ref="U28:U30" si="21">U27+5</f>
        <v>65</v>
      </c>
    </row>
    <row r="29" spans="1:39" x14ac:dyDescent="0.25">
      <c r="B29" s="156">
        <v>93</v>
      </c>
      <c r="C29" s="152">
        <v>46209</v>
      </c>
      <c r="D29" s="40" t="s">
        <v>47</v>
      </c>
      <c r="E29" s="110" t="str">
        <f>M15</f>
        <v>Vencedor 83</v>
      </c>
      <c r="F29" s="153"/>
      <c r="G29" s="127"/>
      <c r="H29" s="88" t="s">
        <v>22</v>
      </c>
      <c r="I29" s="127"/>
      <c r="J29" s="154"/>
      <c r="K29" s="155" t="str">
        <f>M16</f>
        <v>Vencedor 84</v>
      </c>
      <c r="L29" s="140" t="str">
        <f t="shared" si="18"/>
        <v/>
      </c>
      <c r="M29" s="137" t="str">
        <f>IF(OR(G29="",I29=""),"Vencedor 93",IF(G29&lt;&gt;I29,IF(G29&gt;I29,E29,K29),IF(SUM(F29:G29)=SUM(I29:J29),"Vencedor 93",IF(SUM(F29:G29)&gt;SUM(I29:J29),E29,K29))))</f>
        <v>Vencedor 93</v>
      </c>
      <c r="N29" s="137">
        <v>93</v>
      </c>
      <c r="T29" s="17" t="s">
        <v>130</v>
      </c>
      <c r="U29" s="17">
        <f t="shared" ref="U29:U31" si="22">U28+1</f>
        <v>66</v>
      </c>
    </row>
    <row r="30" spans="1:39" x14ac:dyDescent="0.25">
      <c r="B30" s="156">
        <v>94</v>
      </c>
      <c r="C30" s="152">
        <v>46209</v>
      </c>
      <c r="D30" s="40" t="s">
        <v>46</v>
      </c>
      <c r="E30" s="110" t="str">
        <f>M13</f>
        <v>Vencedor 81</v>
      </c>
      <c r="F30" s="153"/>
      <c r="G30" s="127"/>
      <c r="H30" s="88" t="s">
        <v>22</v>
      </c>
      <c r="I30" s="127"/>
      <c r="J30" s="154"/>
      <c r="K30" s="155" t="str">
        <f>M14</f>
        <v>Vencedor 82</v>
      </c>
      <c r="L30" s="140" t="str">
        <f t="shared" si="18"/>
        <v/>
      </c>
      <c r="M30" s="137" t="str">
        <f>IF(OR(G30="",I30=""),"Vencedor 94",IF(G30&lt;&gt;I30,IF(G30&gt;I30,E30,K30),IF(SUM(F30:G30)=SUM(I30:J30),"Vencedor 94",IF(SUM(F30:G30)&gt;SUM(I30:J30),E30,K30))))</f>
        <v>Vencedor 94</v>
      </c>
      <c r="N30" s="137">
        <v>94</v>
      </c>
      <c r="T30" s="17" t="s">
        <v>110</v>
      </c>
      <c r="U30" s="17">
        <f t="shared" si="21"/>
        <v>71</v>
      </c>
    </row>
    <row r="31" spans="1:39" x14ac:dyDescent="0.25">
      <c r="B31" s="156">
        <v>95</v>
      </c>
      <c r="C31" s="152">
        <v>46210</v>
      </c>
      <c r="D31" s="40" t="s">
        <v>47</v>
      </c>
      <c r="E31" s="110" t="str">
        <f>M18</f>
        <v>Vencedor 86</v>
      </c>
      <c r="F31" s="153"/>
      <c r="G31" s="127"/>
      <c r="H31" s="88" t="s">
        <v>22</v>
      </c>
      <c r="I31" s="127"/>
      <c r="J31" s="154"/>
      <c r="K31" s="155" t="str">
        <f>M20</f>
        <v>Vencedor 88</v>
      </c>
      <c r="L31" s="140" t="str">
        <f t="shared" si="18"/>
        <v/>
      </c>
      <c r="M31" s="137" t="str">
        <f>IF(OR(G31="",I31=""),"Vencedor 95",IF(G31&lt;&gt;I31,IF(G31&gt;I31,E31,K31),IF(SUM(F31:G31)=SUM(I31:J31),"Vencedor 95",IF(SUM(F31:G31)&gt;SUM(I31:J31),E31,K31))))</f>
        <v>Vencedor 95</v>
      </c>
      <c r="N31" s="137">
        <v>95</v>
      </c>
      <c r="T31" s="17" t="s">
        <v>129</v>
      </c>
      <c r="U31" s="17">
        <f t="shared" si="22"/>
        <v>72</v>
      </c>
    </row>
    <row r="32" spans="1:39" x14ac:dyDescent="0.25">
      <c r="B32" s="156">
        <v>96</v>
      </c>
      <c r="C32" s="152">
        <v>46210</v>
      </c>
      <c r="D32" s="40" t="s">
        <v>46</v>
      </c>
      <c r="E32" s="110" t="str">
        <f>M17</f>
        <v>Vencedor 85</v>
      </c>
      <c r="F32" s="153"/>
      <c r="G32" s="127"/>
      <c r="H32" s="88" t="s">
        <v>22</v>
      </c>
      <c r="I32" s="127"/>
      <c r="J32" s="154"/>
      <c r="K32" s="155" t="str">
        <f>M19</f>
        <v>Vencedor 87</v>
      </c>
      <c r="L32" s="140" t="str">
        <f t="shared" si="18"/>
        <v/>
      </c>
      <c r="M32" s="137" t="str">
        <f>IF(OR(G32="",I32=""),"Vencedor 96",IF(G32&lt;&gt;I32,IF(G32&gt;I32,E32,K32),IF(SUM(F32:G32)=SUM(I32:J32),"Vencedor 96",IF(SUM(F32:G32)&gt;SUM(I32:J32),E32,K32))))</f>
        <v>Vencedor 96</v>
      </c>
      <c r="N32" s="137">
        <v>96</v>
      </c>
    </row>
    <row r="33" spans="2:33" x14ac:dyDescent="0.25">
      <c r="C33" s="141"/>
    </row>
    <row r="34" spans="2:33" ht="19.5" x14ac:dyDescent="0.25">
      <c r="B34" s="144"/>
      <c r="Y34" s="175" t="s">
        <v>81</v>
      </c>
      <c r="Z34" s="175"/>
      <c r="AA34" s="175"/>
      <c r="AB34" s="170" t="str">
        <f>IF(AI25="1º Lugar","",AI25)</f>
        <v/>
      </c>
      <c r="AC34" s="170"/>
      <c r="AD34" s="170"/>
      <c r="AE34" s="170"/>
      <c r="AF34" s="170"/>
      <c r="AG34" s="170"/>
    </row>
    <row r="35" spans="2:33" ht="18" x14ac:dyDescent="0.25">
      <c r="B35" s="144"/>
      <c r="Y35" s="173" t="s">
        <v>82</v>
      </c>
      <c r="Z35" s="173"/>
      <c r="AA35" s="173"/>
      <c r="AB35" s="171" t="str">
        <f>IF(M57="2º Lugar","",M57)</f>
        <v/>
      </c>
      <c r="AC35" s="171"/>
      <c r="AD35" s="171"/>
      <c r="AE35" s="171"/>
      <c r="AF35" s="171"/>
      <c r="AG35" s="171"/>
    </row>
    <row r="36" spans="2:33" ht="15.75" x14ac:dyDescent="0.25">
      <c r="B36" s="144"/>
      <c r="Y36" s="174" t="s">
        <v>83</v>
      </c>
      <c r="Z36" s="174"/>
      <c r="AA36" s="174"/>
      <c r="AB36" s="172" t="str">
        <f>IF(AI19="3º Lugar","",AI19)</f>
        <v/>
      </c>
      <c r="AC36" s="172"/>
      <c r="AD36" s="172"/>
      <c r="AE36" s="172"/>
      <c r="AF36" s="172"/>
      <c r="AG36" s="172"/>
    </row>
    <row r="57" spans="3:17" x14ac:dyDescent="0.25">
      <c r="C57" s="141"/>
      <c r="M57" s="137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41"/>
    </row>
    <row r="59" spans="3:17" ht="15.75" x14ac:dyDescent="0.25">
      <c r="H59" s="145"/>
      <c r="I59" s="145"/>
      <c r="J59" s="145"/>
      <c r="K59" s="146"/>
      <c r="L59" s="147"/>
      <c r="M59" s="148"/>
      <c r="N59" s="148"/>
      <c r="O59" s="148"/>
      <c r="P59" s="148"/>
      <c r="Q59" s="148"/>
    </row>
    <row r="60" spans="3:17" ht="15.75" x14ac:dyDescent="0.25">
      <c r="H60" s="145"/>
      <c r="I60" s="145"/>
      <c r="J60" s="145"/>
      <c r="K60" s="146"/>
      <c r="L60" s="147"/>
      <c r="M60" s="148"/>
      <c r="N60" s="148"/>
      <c r="O60" s="148"/>
      <c r="P60" s="148"/>
      <c r="Q60" s="148"/>
    </row>
    <row r="61" spans="3:17" ht="15.75" x14ac:dyDescent="0.25">
      <c r="H61" s="145"/>
      <c r="I61" s="145"/>
      <c r="J61" s="145"/>
      <c r="K61" s="146"/>
      <c r="L61" s="147"/>
      <c r="M61" s="148"/>
      <c r="N61" s="148"/>
      <c r="O61" s="148"/>
      <c r="P61" s="148"/>
      <c r="Q61" s="148"/>
    </row>
    <row r="62" spans="3:17" x14ac:dyDescent="0.25">
      <c r="C62" s="141"/>
    </row>
    <row r="63" spans="3:17" x14ac:dyDescent="0.25">
      <c r="C63" s="141"/>
    </row>
    <row r="64" spans="3:17" x14ac:dyDescent="0.25">
      <c r="C64" s="141"/>
    </row>
    <row r="65" spans="3:11" x14ac:dyDescent="0.25">
      <c r="C65" s="141"/>
    </row>
    <row r="66" spans="3:11" x14ac:dyDescent="0.25">
      <c r="C66" s="141"/>
    </row>
    <row r="67" spans="3:11" x14ac:dyDescent="0.25">
      <c r="C67" s="141"/>
    </row>
    <row r="68" spans="3:11" x14ac:dyDescent="0.25">
      <c r="C68" s="141"/>
    </row>
    <row r="69" spans="3:11" x14ac:dyDescent="0.25">
      <c r="C69" s="141"/>
    </row>
    <row r="70" spans="3:11" x14ac:dyDescent="0.25">
      <c r="C70" s="141"/>
    </row>
    <row r="71" spans="3:11" x14ac:dyDescent="0.25">
      <c r="C71" s="141"/>
    </row>
    <row r="72" spans="3:11" x14ac:dyDescent="0.25">
      <c r="C72" s="49"/>
      <c r="D72" s="49"/>
      <c r="E72" s="49"/>
      <c r="H72" s="49"/>
      <c r="K72" s="49"/>
    </row>
    <row r="73" spans="3:11" x14ac:dyDescent="0.25">
      <c r="C73" s="49"/>
      <c r="D73" s="49"/>
      <c r="E73" s="49"/>
      <c r="H73" s="49"/>
      <c r="K73" s="49"/>
    </row>
    <row r="74" spans="3:11" x14ac:dyDescent="0.25">
      <c r="C74" s="49"/>
      <c r="D74" s="49"/>
      <c r="E74" s="49"/>
      <c r="H74" s="49"/>
      <c r="K74" s="49"/>
    </row>
    <row r="75" spans="3:11" x14ac:dyDescent="0.25">
      <c r="C75" s="49"/>
      <c r="D75" s="49"/>
      <c r="E75" s="49"/>
      <c r="H75" s="49"/>
      <c r="K75" s="49"/>
    </row>
    <row r="76" spans="3:11" x14ac:dyDescent="0.25">
      <c r="C76" s="49"/>
      <c r="D76" s="49"/>
      <c r="E76" s="49"/>
      <c r="H76" s="49"/>
      <c r="K76" s="49"/>
    </row>
    <row r="77" spans="3:11" x14ac:dyDescent="0.25">
      <c r="C77" s="49"/>
      <c r="D77" s="49"/>
      <c r="E77" s="49"/>
      <c r="H77" s="49"/>
      <c r="K77" s="49"/>
    </row>
    <row r="78" spans="3:11" x14ac:dyDescent="0.25">
      <c r="C78" s="49"/>
      <c r="D78" s="49"/>
      <c r="E78" s="49"/>
      <c r="H78" s="49"/>
      <c r="K78" s="49"/>
    </row>
    <row r="79" spans="3:11" x14ac:dyDescent="0.25">
      <c r="C79" s="49"/>
      <c r="D79" s="49"/>
      <c r="E79" s="49"/>
      <c r="H79" s="49"/>
      <c r="K79" s="49"/>
    </row>
    <row r="80" spans="3:11" x14ac:dyDescent="0.25">
      <c r="C80" s="49"/>
      <c r="D80" s="49"/>
      <c r="E80" s="49"/>
      <c r="H80" s="49"/>
      <c r="K80" s="49"/>
    </row>
    <row r="81" spans="3:11" x14ac:dyDescent="0.25">
      <c r="C81" s="49"/>
      <c r="D81" s="49"/>
      <c r="E81" s="49"/>
      <c r="H81" s="49"/>
      <c r="K81" s="49"/>
    </row>
    <row r="82" spans="3:11" x14ac:dyDescent="0.25">
      <c r="C82" s="49"/>
      <c r="D82" s="49"/>
      <c r="E82" s="49"/>
      <c r="H82" s="49"/>
      <c r="K82" s="49"/>
    </row>
  </sheetData>
  <sheetProtection algorithmName="SHA-512" hashValue="FV2lZvYkVM4/HMClxH4T8A7W/YasYT8/zsxYwjY8huIBNTJURwSKibfchzsbLYA0IXHoHoro9Azgs5/8zdJ6CQ==" saltValue="EsfoFtPyNJHPRl+/e3hLGw==" spinCount="100000" sheet="1" selectLockedCells="1"/>
  <mergeCells count="30"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Classificados</vt:lpstr>
      <vt:lpstr>Sorteios</vt:lpstr>
      <vt:lpstr>Fase de Grupos</vt:lpstr>
      <vt:lpstr>Dummy</vt:lpstr>
      <vt:lpstr>Finais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2026-04-01T18:40:19Z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